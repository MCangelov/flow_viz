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abriel.georgiev\Desktop\Stuff\Wolverine Flow + AI Implementation\"/>
    </mc:Choice>
  </mc:AlternateContent>
  <xr:revisionPtr revIDLastSave="0" documentId="13_ncr:1_{145288DF-7604-4826-B3CE-AF499132D14C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Expenses" sheetId="1" r:id="rId1"/>
    <sheet name="Investment" sheetId="2" r:id="rId2"/>
    <sheet name="ROI Model" sheetId="3" r:id="rId3"/>
    <sheet name="Overview - Consultants" sheetId="6" r:id="rId4"/>
    <sheet name="Overview - Tryzens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vPGl+CRrxJF6/r3pbIR6DWjOlOuFGn67x32VxDqhotY="/>
    </ext>
  </extLst>
</workbook>
</file>

<file path=xl/calcChain.xml><?xml version="1.0" encoding="utf-8"?>
<calcChain xmlns="http://schemas.openxmlformats.org/spreadsheetml/2006/main">
  <c r="D14" i="3" l="1"/>
  <c r="C14" i="3"/>
  <c r="E4" i="1"/>
  <c r="C5" i="2"/>
  <c r="D9" i="2"/>
  <c r="C4" i="2"/>
  <c r="C3" i="2"/>
  <c r="C9" i="2" l="1"/>
  <c r="C18" i="3"/>
  <c r="E7" i="1"/>
  <c r="E6" i="1"/>
  <c r="E5" i="1"/>
  <c r="E3" i="1"/>
  <c r="C20" i="3"/>
  <c r="D20" i="3" l="1"/>
  <c r="D18" i="3"/>
  <c r="C17" i="7" s="1"/>
  <c r="E9" i="1"/>
  <c r="D3" i="3" l="1"/>
  <c r="C3" i="3"/>
  <c r="C4" i="3"/>
  <c r="C5" i="3"/>
  <c r="C11" i="3"/>
  <c r="D9" i="3"/>
  <c r="D7" i="3"/>
  <c r="D4" i="3"/>
  <c r="D11" i="3"/>
  <c r="C9" i="3"/>
  <c r="C7" i="3"/>
  <c r="D5" i="3"/>
  <c r="D12" i="3"/>
  <c r="D10" i="3"/>
  <c r="D8" i="3"/>
  <c r="C6" i="3"/>
  <c r="C12" i="3"/>
  <c r="C10" i="3"/>
  <c r="C8" i="3"/>
  <c r="D6" i="3"/>
  <c r="C19" i="6"/>
  <c r="C17" i="6"/>
  <c r="D16" i="3" l="1"/>
  <c r="C13" i="3"/>
  <c r="C6" i="7"/>
  <c r="C6" i="6"/>
  <c r="D13" i="3"/>
  <c r="D15" i="3"/>
  <c r="C5" i="6"/>
  <c r="C5" i="7"/>
  <c r="C16" i="3"/>
  <c r="C9" i="7"/>
  <c r="C9" i="6"/>
  <c r="C7" i="7"/>
  <c r="C7" i="6"/>
  <c r="C4" i="7"/>
  <c r="C15" i="3"/>
  <c r="C4" i="6"/>
  <c r="C11" i="7"/>
  <c r="C11" i="6"/>
  <c r="C10" i="7"/>
  <c r="C10" i="6"/>
  <c r="C3" i="6"/>
  <c r="C3" i="7"/>
  <c r="C13" i="7"/>
  <c r="C13" i="6"/>
  <c r="C12" i="7"/>
  <c r="C12" i="6"/>
  <c r="C14" i="6" l="1"/>
  <c r="C14" i="7"/>
  <c r="C8" i="6"/>
  <c r="C17" i="3"/>
  <c r="C19" i="3" s="1"/>
  <c r="C24" i="3" s="1"/>
  <c r="C8" i="7"/>
  <c r="D17" i="3"/>
  <c r="D19" i="3" s="1"/>
  <c r="D24" i="3" s="1"/>
  <c r="C15" i="7"/>
  <c r="C15" i="6"/>
  <c r="C25" i="7" l="1"/>
  <c r="C25" i="6"/>
  <c r="C16" i="6"/>
  <c r="C16" i="7"/>
  <c r="D22" i="3"/>
  <c r="D26" i="3" s="1"/>
  <c r="D21" i="3"/>
  <c r="D23" i="3" s="1"/>
  <c r="D27" i="3" s="1"/>
  <c r="D25" i="3"/>
  <c r="C18" i="7" l="1"/>
  <c r="C18" i="6"/>
  <c r="C21" i="3"/>
  <c r="C22" i="3"/>
  <c r="C24" i="7" s="1"/>
  <c r="C23" i="3" l="1"/>
  <c r="C19" i="7"/>
  <c r="C21" i="7"/>
  <c r="C21" i="6"/>
  <c r="C25" i="3"/>
  <c r="C24" i="6"/>
  <c r="C20" i="6"/>
  <c r="C26" i="3"/>
  <c r="C23" i="6" s="1"/>
  <c r="C26" i="7" l="1"/>
  <c r="C26" i="6"/>
  <c r="C22" i="7"/>
  <c r="C22" i="6"/>
  <c r="C20" i="7"/>
  <c r="C27" i="3"/>
  <c r="C23" i="7" s="1"/>
</calcChain>
</file>

<file path=xl/sharedStrings.xml><?xml version="1.0" encoding="utf-8"?>
<sst xmlns="http://schemas.openxmlformats.org/spreadsheetml/2006/main" count="146" uniqueCount="92">
  <si>
    <t>Region</t>
  </si>
  <si>
    <t>FTE Count</t>
  </si>
  <si>
    <t>Notes</t>
  </si>
  <si>
    <t>Bulgaria (UK Company)</t>
  </si>
  <si>
    <t>OSF</t>
  </si>
  <si>
    <t>Internal US</t>
  </si>
  <si>
    <t>Total Engineering Cost</t>
  </si>
  <si>
    <t>Category</t>
  </si>
  <si>
    <t>Flow Metrics Tool (Nave/AA)</t>
  </si>
  <si>
    <t>Rovo Dev Licenses (55 seats)</t>
  </si>
  <si>
    <t>Change Mgmt &amp; Training</t>
  </si>
  <si>
    <t>One-time</t>
  </si>
  <si>
    <t>Implementation &amp; Integration</t>
  </si>
  <si>
    <t>Total Engineering Cost (ref)</t>
  </si>
  <si>
    <t>Flow: Cycle Time Reduction</t>
  </si>
  <si>
    <t>3–10% uplift</t>
  </si>
  <si>
    <t>Flow: Planning Accuracy</t>
  </si>
  <si>
    <t>1–2% uplift</t>
  </si>
  <si>
    <t>Flow: Product and Delivery Overhead Reduction</t>
  </si>
  <si>
    <t>0.5–1% uplift</t>
  </si>
  <si>
    <t>Flow: Avoided Delays</t>
  </si>
  <si>
    <t>AI: Engineering Productivity</t>
  </si>
  <si>
    <t>8–12% uplift</t>
  </si>
  <si>
    <t>AI: Readiness + Refinement</t>
  </si>
  <si>
    <t>2–4% uplift</t>
  </si>
  <si>
    <t>AI: PMO Automation</t>
  </si>
  <si>
    <t>1.8–2.8% uplift</t>
  </si>
  <si>
    <t>AI: Risk Forecasting</t>
  </si>
  <si>
    <t>1.4–2.8% uplift</t>
  </si>
  <si>
    <t>AI: Agent Orchestration</t>
  </si>
  <si>
    <t>2.2–3.8% uplift</t>
  </si>
  <si>
    <t>Overlap Adjustment</t>
  </si>
  <si>
    <t>Avoid double counting (7–10%)</t>
  </si>
  <si>
    <t>Flow ROI Total</t>
  </si>
  <si>
    <t>AI ROI Total</t>
  </si>
  <si>
    <t>Gross ROI (before invest)</t>
  </si>
  <si>
    <t>Total Annual Investment</t>
  </si>
  <si>
    <t>Net Annual ROI (after annual invest)</t>
  </si>
  <si>
    <t>Cost per FTE ($)</t>
  </si>
  <si>
    <t>Total ($)</t>
  </si>
  <si>
    <t>Annual Recurring ($)</t>
  </si>
  <si>
    <t>One-time ($)</t>
  </si>
  <si>
    <t>Low ($)</t>
  </si>
  <si>
    <t>High ($)</t>
  </si>
  <si>
    <t>Flow ROI ($)</t>
  </si>
  <si>
    <t>AI ROI ($)</t>
  </si>
  <si>
    <t>Overlap ($)</t>
  </si>
  <si>
    <t>Gross ROI ($)</t>
  </si>
  <si>
    <t>Net Annual ROI ($)</t>
  </si>
  <si>
    <t>Net ROI Year1 ($)</t>
  </si>
  <si>
    <t>Net ROI Year2 ($)</t>
  </si>
  <si>
    <t>Net ROI Year3 ($)</t>
  </si>
  <si>
    <t>Scenario:</t>
  </si>
  <si>
    <t>Total Engineering Cost ($)</t>
  </si>
  <si>
    <t>Payback (months)</t>
  </si>
  <si>
    <t>ROI ratio Year 1</t>
  </si>
  <si>
    <t>ROI ratio Year 2</t>
  </si>
  <si>
    <t>ROI ratio Year 3</t>
  </si>
  <si>
    <t>Conservative</t>
  </si>
  <si>
    <t>$400/month</t>
  </si>
  <si>
    <t>55×$20×12</t>
  </si>
  <si>
    <t>Replace with actual rates</t>
  </si>
  <si>
    <t>Net ROI Year 1 (Consultants)</t>
  </si>
  <si>
    <t>Net ROI Year 2 (Consultants)</t>
  </si>
  <si>
    <t>Net ROI Year 3 (Consultants)</t>
  </si>
  <si>
    <t>Net ROI Year 1 (Tyzens)</t>
  </si>
  <si>
    <t>Total costs</t>
  </si>
  <si>
    <t>Total One-time Bonus - Tryzens</t>
  </si>
  <si>
    <t>Total One-time Cost - Consultants</t>
  </si>
  <si>
    <t>Payback (months) - Consultants</t>
  </si>
  <si>
    <t>Payback (months) - Tryzens</t>
  </si>
  <si>
    <t>DORA Metrics Tool</t>
  </si>
  <si>
    <t>$1000/month</t>
  </si>
  <si>
    <t>Brilio</t>
  </si>
  <si>
    <t>TechM</t>
  </si>
  <si>
    <t>Resources</t>
  </si>
  <si>
    <t>https://businessmap.io/wp-content/uploads/downloads/Ultimate_Kanban_Scaling%20Agile_without_Frameworks.pdf</t>
  </si>
  <si>
    <t>https://services.google.com/fh/files/misc/2024_final_dora_report.pdf</t>
  </si>
  <si>
    <t>https://atlassianblog.wpengine.com/wp-content/uploads/2025/03/the-state-of-teams-2025.pdf</t>
  </si>
  <si>
    <t>https://www.puppet.com/resources/history-of-devops-reports</t>
  </si>
  <si>
    <t>https://cdn.wrike.com/reports/Impactful-Work-Report.pdf</t>
  </si>
  <si>
    <t>https://www.mckinsey.com/capabilities/tech-and-ai/our-insights/unleashing-developer-productivity-with-generative-ai</t>
  </si>
  <si>
    <t>https://survey.stackoverflow.co/2024/</t>
  </si>
  <si>
    <t>https://www.bcg.com/publications/2025/closing-the-ai-impact-gap</t>
  </si>
  <si>
    <t>https://www.bain.com/insights/from-pilots-to-payoff-generative-ai-in-software-development-technology-report-2025</t>
  </si>
  <si>
    <t>https://www.scribd.com/document/927502139/Gartner-Hype-Cycle-for-AI-2024</t>
  </si>
  <si>
    <t>https://arxiv.org/pdf/2505.10468</t>
  </si>
  <si>
    <t>https://s204.q4cdn.com/984476563/files/doc_news/2024/06/2024secdev.pdf</t>
  </si>
  <si>
    <t>https://www.pmi.org/-/media/pmi/documents/public/pdf/learning/thought-leadership/pulse/pulse_of_the_profession_2025-1.pdf</t>
  </si>
  <si>
    <t>https://www.splunk.com/en_us/pdfs/analyst-reports/the-power-of-predictive-it.pdf</t>
  </si>
  <si>
    <t xml:space="preserve">Business Outcomes </t>
  </si>
  <si>
    <t>2-5% uplift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</si>
</sst>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4" fontId="5" fillId="0" borderId="1" xfId="1" applyFont="1" applyBorder="1"/>
    <xf numFmtId="0" fontId="5" fillId="0" borderId="0" xfId="0" applyFont="1"/>
    <xf numFmtId="0" fontId="0" fillId="0" borderId="2" xfId="0" applyBorder="1"/>
    <xf numFmtId="44" fontId="5" fillId="0" borderId="0" xfId="1" applyFont="1"/>
    <xf numFmtId="44" fontId="5" fillId="0" borderId="3" xfId="1" applyFont="1" applyBorder="1"/>
    <xf numFmtId="0" fontId="7" fillId="0" borderId="0" xfId="0" applyFont="1" applyAlignment="1">
      <alignment horizontal="center"/>
    </xf>
    <xf numFmtId="0" fontId="0" fillId="0" borderId="1" xfId="0" applyBorder="1"/>
    <xf numFmtId="44" fontId="0" fillId="0" borderId="0" xfId="1" applyFont="1" applyAlignment="1"/>
    <xf numFmtId="0" fontId="6" fillId="0" borderId="1" xfId="0" applyFont="1" applyBorder="1"/>
    <xf numFmtId="0" fontId="7" fillId="0" borderId="1" xfId="0" applyFont="1" applyBorder="1" applyAlignment="1">
      <alignment horizontal="left"/>
    </xf>
    <xf numFmtId="44" fontId="7" fillId="0" borderId="1" xfId="1" applyFont="1" applyBorder="1" applyAlignment="1"/>
    <xf numFmtId="44" fontId="9" fillId="0" borderId="1" xfId="1" applyFont="1" applyBorder="1" applyAlignment="1"/>
    <xf numFmtId="0" fontId="9" fillId="0" borderId="0" xfId="0" applyFont="1"/>
    <xf numFmtId="0" fontId="9" fillId="0" borderId="1" xfId="0" applyFont="1" applyBorder="1"/>
    <xf numFmtId="0" fontId="8" fillId="0" borderId="1" xfId="0" applyFont="1" applyBorder="1" applyAlignment="1">
      <alignment horizontal="center"/>
    </xf>
    <xf numFmtId="44" fontId="6" fillId="0" borderId="1" xfId="0" applyNumberFormat="1" applyFont="1" applyBorder="1"/>
    <xf numFmtId="164" fontId="6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2" fontId="7" fillId="0" borderId="1" xfId="1" applyNumberFormat="1" applyFont="1" applyBorder="1" applyAlignment="1"/>
    <xf numFmtId="0" fontId="4" fillId="0" borderId="1" xfId="0" applyFont="1" applyBorder="1"/>
    <xf numFmtId="0" fontId="4" fillId="0" borderId="0" xfId="0" applyFont="1"/>
    <xf numFmtId="0" fontId="3" fillId="0" borderId="1" xfId="0" applyFont="1" applyBorder="1"/>
    <xf numFmtId="0" fontId="2" fillId="0" borderId="1" xfId="0" applyFont="1" applyBorder="1"/>
    <xf numFmtId="0" fontId="1" fillId="0" borderId="1" xfId="0" applyFont="1" applyBorder="1"/>
    <xf numFmtId="0" fontId="10" fillId="0" borderId="1" xfId="2" applyBorder="1" applyAlignment="1">
      <alignment horizont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ROI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6"/>
          <c:order val="0"/>
          <c:tx>
            <c:strRef>
              <c:f>'Overview - Consultants'!$B$22</c:f>
              <c:strCache>
                <c:ptCount val="1"/>
                <c:pt idx="0">
                  <c:v>Net ROI Year3 ($)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Consultants'!$C$22</c:f>
              <c:numCache>
                <c:formatCode>_("$"* #,##0.00_);_("$"* \(#,##0.00\);_("$"* "-"??_);_(@_)</c:formatCode>
                <c:ptCount val="1"/>
                <c:pt idx="0">
                  <c:v>969176.27520000015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626-41E3-BB90-718BC2BABF37}"/>
            </c:ext>
          </c:extLst>
        </c:ser>
        <c:ser>
          <c:idx val="5"/>
          <c:order val="1"/>
          <c:tx>
            <c:strRef>
              <c:f>'Overview - Consultants'!$B$21</c:f>
              <c:strCache>
                <c:ptCount val="1"/>
                <c:pt idx="0">
                  <c:v>Net ROI Year2 ($)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Consultants'!$C$21</c:f>
              <c:numCache>
                <c:formatCode>_("$"* #,##0.00_);_("$"* \(#,##0.00\);_("$"* "-"??_);_(@_)</c:formatCode>
                <c:ptCount val="1"/>
                <c:pt idx="0">
                  <c:v>940947.84000000008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626-41E3-BB90-718BC2BABF37}"/>
            </c:ext>
          </c:extLst>
        </c:ser>
        <c:ser>
          <c:idx val="4"/>
          <c:order val="2"/>
          <c:tx>
            <c:strRef>
              <c:f>'Overview - Consultants'!$B$20</c:f>
              <c:strCache>
                <c:ptCount val="1"/>
                <c:pt idx="0">
                  <c:v>Net ROI Year1 ($)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Consultants'!$C$20</c:f>
              <c:numCache>
                <c:formatCode>_("$"* #,##0.00_);_("$"* \(#,##0.00\);_("$"* "-"??_);_(@_)</c:formatCode>
                <c:ptCount val="1"/>
                <c:pt idx="0">
                  <c:v>646140.80000000005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626-41E3-BB90-718BC2BABF37}"/>
            </c:ext>
          </c:extLst>
        </c:ser>
        <c:ser>
          <c:idx val="3"/>
          <c:order val="3"/>
          <c:tx>
            <c:strRef>
              <c:f>'Overview - Consultants'!$B$16</c:f>
              <c:strCache>
                <c:ptCount val="1"/>
                <c:pt idx="0">
                  <c:v>Gross ROI ($)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Consultants'!$C$16</c:f>
              <c:numCache>
                <c:formatCode>_("$"* #,##0.00_);_("$"* \(#,##0.00\);_("$"* "-"??_);_(@_)</c:formatCode>
                <c:ptCount val="1"/>
                <c:pt idx="0">
                  <c:v>923140.8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626-41E3-BB90-718BC2BABF37}"/>
            </c:ext>
          </c:extLst>
        </c:ser>
        <c:ser>
          <c:idx val="2"/>
          <c:order val="4"/>
          <c:tx>
            <c:strRef>
              <c:f>'Overview - Consultants'!$B$14</c:f>
              <c:strCache>
                <c:ptCount val="1"/>
                <c:pt idx="0">
                  <c:v>AI ROI ($)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Consultants'!$C$14</c:f>
              <c:numCache>
                <c:formatCode>_("$"* #,##0.00_);_("$"* \(#,##0.00\);_("$"* "-"??_);_(@_)</c:formatCode>
                <c:ptCount val="1"/>
                <c:pt idx="0">
                  <c:v>774312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626-41E3-BB90-718BC2BABF37}"/>
            </c:ext>
          </c:extLst>
        </c:ser>
        <c:ser>
          <c:idx val="1"/>
          <c:order val="5"/>
          <c:tx>
            <c:strRef>
              <c:f>'Overview - Consultants'!$B$8</c:f>
              <c:strCache>
                <c:ptCount val="1"/>
                <c:pt idx="0">
                  <c:v>Flow ROI ($)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Consultants'!$C$8</c:f>
              <c:numCache>
                <c:formatCode>_("$"* #,##0.00_);_("$"* \(#,##0.00\);_("$"* "-"??_);_(@_)</c:formatCode>
                <c:ptCount val="1"/>
                <c:pt idx="0">
                  <c:v>251400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626-41E3-BB90-718BC2BABF37}"/>
            </c:ext>
          </c:extLst>
        </c:ser>
        <c:ser>
          <c:idx val="0"/>
          <c:order val="6"/>
          <c:tx>
            <c:strRef>
              <c:f>'Overview - Consultants'!$B$3</c:f>
              <c:strCache>
                <c:ptCount val="1"/>
                <c:pt idx="0">
                  <c:v>Total Engineering Cost ($)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Consultants'!$C$3</c:f>
              <c:numCache>
                <c:formatCode>_("$"* #,##0.00_);_("$"* \(#,##0.00\);_("$"* "-"??_);_(@_)</c:formatCode>
                <c:ptCount val="1"/>
                <c:pt idx="0">
                  <c:v>5028000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6-41E3-BB90-718BC2BABF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49788095"/>
        <c:axId val="649788575"/>
      </c:barChart>
      <c:catAx>
        <c:axId val="6497880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49788575"/>
        <c:crosses val="autoZero"/>
        <c:auto val="1"/>
        <c:lblAlgn val="ctr"/>
        <c:lblOffset val="100"/>
        <c:noMultiLvlLbl val="0"/>
      </c:catAx>
      <c:valAx>
        <c:axId val="64978857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64978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1.3596193065941536E-2"/>
          <c:y val="0.16651964645684264"/>
          <c:w val="0.24903033449846643"/>
          <c:h val="0.750928765479981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Transformation Cost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Investment!$B$3</c:f>
              <c:strCache>
                <c:ptCount val="1"/>
                <c:pt idx="0">
                  <c:v>Flow Metrics Tool (Nave/AA)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Investment!$C$3</c:f>
              <c:numCache>
                <c:formatCode>_("$"* #,##0.00_);_("$"* \(#,##0.00\);_("$"* "-"??_);_(@_)</c:formatCode>
                <c:ptCount val="1"/>
                <c:pt idx="0">
                  <c:v>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40-4FD3-9F63-3DBFAA29A499}"/>
            </c:ext>
          </c:extLst>
        </c:ser>
        <c:ser>
          <c:idx val="1"/>
          <c:order val="1"/>
          <c:tx>
            <c:strRef>
              <c:f>Investment!$B$4</c:f>
              <c:strCache>
                <c:ptCount val="1"/>
                <c:pt idx="0">
                  <c:v>Rovo Dev Licenses (55 seats)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Investment!$C$4</c:f>
              <c:numCache>
                <c:formatCode>_("$"* #,##0.00_);_("$"* \(#,##0.00\);_("$"* "-"??_);_(@_)</c:formatCode>
                <c:ptCount val="1"/>
                <c:pt idx="0">
                  <c:v>13200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40-4FD3-9F63-3DBFAA29A499}"/>
            </c:ext>
          </c:extLst>
        </c:ser>
        <c:ser>
          <c:idx val="2"/>
          <c:order val="2"/>
          <c:tx>
            <c:strRef>
              <c:f>Investment!$B$6</c:f>
              <c:strCache>
                <c:ptCount val="1"/>
                <c:pt idx="0">
                  <c:v>Change Mgmt &amp; Training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Investment!$D$6</c:f>
              <c:numCache>
                <c:formatCode>_("$"* #,##0.00_);_("$"* \(#,##0.00\);_("$"* "-"??_);_(@_)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40-4FD3-9F63-3DBFAA29A499}"/>
            </c:ext>
          </c:extLst>
        </c:ser>
        <c:ser>
          <c:idx val="3"/>
          <c:order val="3"/>
          <c:tx>
            <c:strRef>
              <c:f>Investment!$B$7</c:f>
              <c:strCache>
                <c:ptCount val="1"/>
                <c:pt idx="0">
                  <c:v>Implementation &amp; Integration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Investment!$D$7</c:f>
              <c:numCache>
                <c:formatCode>_("$"* #,##0.00_);_("$"* \(#,##0.00\);_("$"* "-"??_);_(@_)</c:formatCode>
                <c:ptCount val="1"/>
                <c:pt idx="0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640-4FD3-9F63-3DBFAA29A4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33071231"/>
        <c:axId val="633078431"/>
      </c:barChart>
      <c:catAx>
        <c:axId val="633071231"/>
        <c:scaling>
          <c:orientation val="minMax"/>
        </c:scaling>
        <c:delete val="1"/>
        <c:axPos val="l"/>
        <c:majorTickMark val="none"/>
        <c:minorTickMark val="none"/>
        <c:tickLblPos val="nextTo"/>
        <c:crossAx val="633078431"/>
        <c:crosses val="autoZero"/>
        <c:auto val="1"/>
        <c:lblAlgn val="ctr"/>
        <c:lblOffset val="100"/>
        <c:noMultiLvlLbl val="0"/>
      </c:catAx>
      <c:valAx>
        <c:axId val="63307843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633071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1.2550200803212851E-2"/>
          <c:y val="0.19807911514242191"/>
          <c:w val="0.26323420321706775"/>
          <c:h val="0.69135221039594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Benefit Composition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'Overview - Consultants'!$B$4</c:f>
              <c:strCache>
                <c:ptCount val="1"/>
                <c:pt idx="0">
                  <c:v>Flow: Cycle Time Reduction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Consultants'!$C$4</c:f>
              <c:numCache>
                <c:formatCode>_("$"* #,##0.00_);_("$"* \(#,##0.00\);_("$"* "-"??_);_(@_)</c:formatCode>
                <c:ptCount val="1"/>
                <c:pt idx="0">
                  <c:v>150840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DB-4CAD-8D7D-2751749472F0}"/>
            </c:ext>
          </c:extLst>
        </c:ser>
        <c:ser>
          <c:idx val="1"/>
          <c:order val="1"/>
          <c:tx>
            <c:strRef>
              <c:f>'Overview - Consultants'!$B$5</c:f>
              <c:strCache>
                <c:ptCount val="1"/>
                <c:pt idx="0">
                  <c:v>Flow: Planning Accuracy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Consultants'!$C$5</c:f>
              <c:numCache>
                <c:formatCode>_("$"* #,##0.00_);_("$"* \(#,##0.00\);_("$"* "-"??_);_(@_)</c:formatCode>
                <c:ptCount val="1"/>
                <c:pt idx="0">
                  <c:v>50280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DB-4CAD-8D7D-2751749472F0}"/>
            </c:ext>
          </c:extLst>
        </c:ser>
        <c:ser>
          <c:idx val="2"/>
          <c:order val="2"/>
          <c:tx>
            <c:strRef>
              <c:f>'Overview - Consultants'!$B$6</c:f>
              <c:strCache>
                <c:ptCount val="1"/>
                <c:pt idx="0">
                  <c:v>Flow: Product and Delivery Overhead Reduction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Consultants'!$C$6</c:f>
              <c:numCache>
                <c:formatCode>_("$"* #,##0.00_);_("$"* \(#,##0.00\);_("$"* "-"??_);_(@_)</c:formatCode>
                <c:ptCount val="1"/>
                <c:pt idx="0">
                  <c:v>25140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DB-4CAD-8D7D-2751749472F0}"/>
            </c:ext>
          </c:extLst>
        </c:ser>
        <c:ser>
          <c:idx val="3"/>
          <c:order val="3"/>
          <c:tx>
            <c:strRef>
              <c:f>'Overview - Consultants'!$B$7</c:f>
              <c:strCache>
                <c:ptCount val="1"/>
                <c:pt idx="0">
                  <c:v>Flow: Avoided Delays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Consultants'!$C$7</c:f>
              <c:numCache>
                <c:formatCode>_("$"* #,##0.00_);_("$"* \(#,##0.00\);_("$"* "-"??_);_(@_)</c:formatCode>
                <c:ptCount val="1"/>
                <c:pt idx="0">
                  <c:v>25140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DB-4CAD-8D7D-2751749472F0}"/>
            </c:ext>
          </c:extLst>
        </c:ser>
        <c:ser>
          <c:idx val="4"/>
          <c:order val="4"/>
          <c:tx>
            <c:strRef>
              <c:f>'Overview - Consultants'!$B$9</c:f>
              <c:strCache>
                <c:ptCount val="1"/>
                <c:pt idx="0">
                  <c:v>AI: Engineering Productivity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Consultants'!$C$9</c:f>
              <c:numCache>
                <c:formatCode>_("$"* #,##0.00_);_("$"* \(#,##0.00\);_("$"* "-"??_);_(@_)</c:formatCode>
                <c:ptCount val="1"/>
                <c:pt idx="0">
                  <c:v>402240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DB-4CAD-8D7D-2751749472F0}"/>
            </c:ext>
          </c:extLst>
        </c:ser>
        <c:ser>
          <c:idx val="5"/>
          <c:order val="5"/>
          <c:tx>
            <c:strRef>
              <c:f>'Overview - Consultants'!$B$10</c:f>
              <c:strCache>
                <c:ptCount val="1"/>
                <c:pt idx="0">
                  <c:v>AI: Readiness + Refinement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Consultants'!$C$10</c:f>
              <c:numCache>
                <c:formatCode>_("$"* #,##0.00_);_("$"* \(#,##0.00\);_("$"* "-"??_);_(@_)</c:formatCode>
                <c:ptCount val="1"/>
                <c:pt idx="0">
                  <c:v>100560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DB-4CAD-8D7D-2751749472F0}"/>
            </c:ext>
          </c:extLst>
        </c:ser>
        <c:ser>
          <c:idx val="6"/>
          <c:order val="6"/>
          <c:tx>
            <c:strRef>
              <c:f>'Overview - Consultants'!$B$11</c:f>
              <c:strCache>
                <c:ptCount val="1"/>
                <c:pt idx="0">
                  <c:v>AI: PMO Automation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Consultants'!$C$11</c:f>
              <c:numCache>
                <c:formatCode>_("$"* #,##0.00_);_("$"* \(#,##0.00\);_("$"* "-"??_);_(@_)</c:formatCode>
                <c:ptCount val="1"/>
                <c:pt idx="0">
                  <c:v>90504.000000000015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ADB-4CAD-8D7D-2751749472F0}"/>
            </c:ext>
          </c:extLst>
        </c:ser>
        <c:ser>
          <c:idx val="7"/>
          <c:order val="7"/>
          <c:tx>
            <c:strRef>
              <c:f>'Overview - Consultants'!$B$12</c:f>
              <c:strCache>
                <c:ptCount val="1"/>
                <c:pt idx="0">
                  <c:v>AI: Risk Forecasting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Consultants'!$C$12</c:f>
              <c:numCache>
                <c:formatCode>_("$"* #,##0.00_);_("$"* \(#,##0.00\);_("$"* "-"??_);_(@_)</c:formatCode>
                <c:ptCount val="1"/>
                <c:pt idx="0">
                  <c:v>70392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ADB-4CAD-8D7D-2751749472F0}"/>
            </c:ext>
          </c:extLst>
        </c:ser>
        <c:ser>
          <c:idx val="8"/>
          <c:order val="8"/>
          <c:tx>
            <c:strRef>
              <c:f>'Overview - Consultants'!$B$13</c:f>
              <c:strCache>
                <c:ptCount val="1"/>
                <c:pt idx="0">
                  <c:v>AI: Agent Orchestration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Consultants'!$C$13</c:f>
              <c:numCache>
                <c:formatCode>_("$"* #,##0.00_);_("$"* \(#,##0.00\);_("$"* "-"??_);_(@_)</c:formatCode>
                <c:ptCount val="1"/>
                <c:pt idx="0">
                  <c:v>110616.00000000001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ADB-4CAD-8D7D-2751749472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49809695"/>
        <c:axId val="649813535"/>
      </c:barChart>
      <c:catAx>
        <c:axId val="649809695"/>
        <c:scaling>
          <c:orientation val="minMax"/>
        </c:scaling>
        <c:delete val="1"/>
        <c:axPos val="l"/>
        <c:majorTickMark val="none"/>
        <c:minorTickMark val="none"/>
        <c:tickLblPos val="nextTo"/>
        <c:crossAx val="649813535"/>
        <c:crosses val="autoZero"/>
        <c:auto val="1"/>
        <c:lblAlgn val="ctr"/>
        <c:lblOffset val="100"/>
        <c:noMultiLvlLbl val="0"/>
      </c:catAx>
      <c:valAx>
        <c:axId val="64981353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64980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1.2550200803212851E-2"/>
          <c:y val="0.15891501090996865"/>
          <c:w val="0.31836137199717507"/>
          <c:h val="0.771336008552506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ROI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6"/>
          <c:order val="0"/>
          <c:tx>
            <c:strRef>
              <c:f>'Overview - Tryzens'!$B$22</c:f>
              <c:strCache>
                <c:ptCount val="1"/>
                <c:pt idx="0">
                  <c:v>Net ROI Year3 ($)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Tryzens'!$C$22</c:f>
              <c:numCache>
                <c:formatCode>_("$"* #,##0.00_);_("$"* \(#,##0.00\);_("$"* "-"??_);_(@_)</c:formatCode>
                <c:ptCount val="1"/>
                <c:pt idx="0">
                  <c:v>969176.27520000015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25-44FE-98CF-DC9F9E671BAA}"/>
            </c:ext>
          </c:extLst>
        </c:ser>
        <c:ser>
          <c:idx val="5"/>
          <c:order val="1"/>
          <c:tx>
            <c:strRef>
              <c:f>'Overview - Tryzens'!$B$21</c:f>
              <c:strCache>
                <c:ptCount val="1"/>
                <c:pt idx="0">
                  <c:v>Net ROI Year2 ($)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Tryzens'!$C$21</c:f>
              <c:numCache>
                <c:formatCode>_("$"* #,##0.00_);_("$"* \(#,##0.00\);_("$"* "-"??_);_(@_)</c:formatCode>
                <c:ptCount val="1"/>
                <c:pt idx="0">
                  <c:v>940947.84000000008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25-44FE-98CF-DC9F9E671BAA}"/>
            </c:ext>
          </c:extLst>
        </c:ser>
        <c:ser>
          <c:idx val="4"/>
          <c:order val="2"/>
          <c:tx>
            <c:strRef>
              <c:f>'Overview - Tryzens'!$B$20</c:f>
              <c:strCache>
                <c:ptCount val="1"/>
                <c:pt idx="0">
                  <c:v>Net ROI Year1 ($)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Tryzens'!$C$20</c:f>
              <c:numCache>
                <c:formatCode>_("$"* #,##0.00_);_("$"* \(#,##0.00\);_("$"* "-"??_);_(@_)</c:formatCode>
                <c:ptCount val="1"/>
                <c:pt idx="0">
                  <c:v>806526.72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25-44FE-98CF-DC9F9E671BAA}"/>
            </c:ext>
          </c:extLst>
        </c:ser>
        <c:ser>
          <c:idx val="3"/>
          <c:order val="3"/>
          <c:tx>
            <c:strRef>
              <c:f>'Overview - Tryzens'!$B$16</c:f>
              <c:strCache>
                <c:ptCount val="1"/>
                <c:pt idx="0">
                  <c:v>Gross ROI ($)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Tryzens'!$C$16</c:f>
              <c:numCache>
                <c:formatCode>_("$"* #,##0.00_);_("$"* \(#,##0.00\);_("$"* "-"??_);_(@_)</c:formatCode>
                <c:ptCount val="1"/>
                <c:pt idx="0">
                  <c:v>923140.8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25-44FE-98CF-DC9F9E671BAA}"/>
            </c:ext>
          </c:extLst>
        </c:ser>
        <c:ser>
          <c:idx val="2"/>
          <c:order val="4"/>
          <c:tx>
            <c:strRef>
              <c:f>'Overview - Tryzens'!$B$14</c:f>
              <c:strCache>
                <c:ptCount val="1"/>
                <c:pt idx="0">
                  <c:v>AI ROI ($)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Tryzens'!$C$14</c:f>
              <c:numCache>
                <c:formatCode>_("$"* #,##0.00_);_("$"* \(#,##0.00\);_("$"* "-"??_);_(@_)</c:formatCode>
                <c:ptCount val="1"/>
                <c:pt idx="0">
                  <c:v>774312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25-44FE-98CF-DC9F9E671BAA}"/>
            </c:ext>
          </c:extLst>
        </c:ser>
        <c:ser>
          <c:idx val="1"/>
          <c:order val="5"/>
          <c:tx>
            <c:strRef>
              <c:f>'Overview - Tryzens'!$B$8</c:f>
              <c:strCache>
                <c:ptCount val="1"/>
                <c:pt idx="0">
                  <c:v>Flow ROI ($)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Tryzens'!$C$8</c:f>
              <c:numCache>
                <c:formatCode>_("$"* #,##0.00_);_("$"* \(#,##0.00\);_("$"* "-"??_);_(@_)</c:formatCode>
                <c:ptCount val="1"/>
                <c:pt idx="0">
                  <c:v>251400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25-44FE-98CF-DC9F9E671BAA}"/>
            </c:ext>
          </c:extLst>
        </c:ser>
        <c:ser>
          <c:idx val="0"/>
          <c:order val="6"/>
          <c:tx>
            <c:strRef>
              <c:f>'Overview - Tryzens'!$B$3</c:f>
              <c:strCache>
                <c:ptCount val="1"/>
                <c:pt idx="0">
                  <c:v>Total Engineering Cost ($)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Tryzens'!$C$3</c:f>
              <c:numCache>
                <c:formatCode>_("$"* #,##0.00_);_("$"* \(#,##0.00\);_("$"* "-"??_);_(@_)</c:formatCode>
                <c:ptCount val="1"/>
                <c:pt idx="0">
                  <c:v>5028000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25-44FE-98CF-DC9F9E671B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49788095"/>
        <c:axId val="649788575"/>
      </c:barChart>
      <c:catAx>
        <c:axId val="6497880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49788575"/>
        <c:crosses val="autoZero"/>
        <c:auto val="1"/>
        <c:lblAlgn val="ctr"/>
        <c:lblOffset val="100"/>
        <c:noMultiLvlLbl val="0"/>
      </c:catAx>
      <c:valAx>
        <c:axId val="64978857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64978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1.3596193065941536E-2"/>
          <c:y val="0.16651964645684264"/>
          <c:w val="0.24903033449846643"/>
          <c:h val="0.750928765479981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Transformation Cost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Investment!$B$3</c:f>
              <c:strCache>
                <c:ptCount val="1"/>
                <c:pt idx="0">
                  <c:v>Flow Metrics Tool (Nave/AA)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Investment!$C$3</c:f>
              <c:numCache>
                <c:formatCode>_("$"* #,##0.00_);_("$"* \(#,##0.00\);_("$"* "-"??_);_(@_)</c:formatCode>
                <c:ptCount val="1"/>
                <c:pt idx="0">
                  <c:v>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1-413C-A4FC-C2E0C085074B}"/>
            </c:ext>
          </c:extLst>
        </c:ser>
        <c:ser>
          <c:idx val="1"/>
          <c:order val="1"/>
          <c:tx>
            <c:strRef>
              <c:f>Investment!$B$4</c:f>
              <c:strCache>
                <c:ptCount val="1"/>
                <c:pt idx="0">
                  <c:v>Rovo Dev Licenses (55 seats)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Investment!$C$4</c:f>
              <c:numCache>
                <c:formatCode>_("$"* #,##0.00_);_("$"* \(#,##0.00\);_("$"* "-"??_);_(@_)</c:formatCode>
                <c:ptCount val="1"/>
                <c:pt idx="0">
                  <c:v>13200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91-413C-A4FC-C2E0C085074B}"/>
            </c:ext>
          </c:extLst>
        </c:ser>
        <c:ser>
          <c:idx val="2"/>
          <c:order val="2"/>
          <c:tx>
            <c:strRef>
              <c:f>Investment!$B$6</c:f>
              <c:strCache>
                <c:ptCount val="1"/>
                <c:pt idx="0">
                  <c:v>Change Mgmt &amp; Training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Investment!$D$6</c:f>
              <c:numCache>
                <c:formatCode>_("$"* #,##0.00_);_("$"* \(#,##0.00\);_("$"* "-"??_);_(@_)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91-413C-A4FC-C2E0C085074B}"/>
            </c:ext>
          </c:extLst>
        </c:ser>
        <c:ser>
          <c:idx val="3"/>
          <c:order val="3"/>
          <c:tx>
            <c:strRef>
              <c:f>Investment!$B$7</c:f>
              <c:strCache>
                <c:ptCount val="1"/>
                <c:pt idx="0">
                  <c:v>Implementation &amp; Integration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Investment!$D$7</c:f>
              <c:numCache>
                <c:formatCode>_("$"* #,##0.00_);_("$"* \(#,##0.00\);_("$"* "-"??_);_(@_)</c:formatCode>
                <c:ptCount val="1"/>
                <c:pt idx="0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91-413C-A4FC-C2E0C08507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33071231"/>
        <c:axId val="633078431"/>
      </c:barChart>
      <c:catAx>
        <c:axId val="633071231"/>
        <c:scaling>
          <c:orientation val="minMax"/>
        </c:scaling>
        <c:delete val="1"/>
        <c:axPos val="l"/>
        <c:majorTickMark val="none"/>
        <c:minorTickMark val="none"/>
        <c:tickLblPos val="nextTo"/>
        <c:crossAx val="633078431"/>
        <c:crosses val="autoZero"/>
        <c:auto val="1"/>
        <c:lblAlgn val="ctr"/>
        <c:lblOffset val="100"/>
        <c:noMultiLvlLbl val="0"/>
      </c:catAx>
      <c:valAx>
        <c:axId val="63307843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633071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1.2550200803212851E-2"/>
          <c:y val="0.19807911514242191"/>
          <c:w val="0.26323420321706775"/>
          <c:h val="0.69135221039594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Benefit Composition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'Overview - Tryzens'!$B$4</c:f>
              <c:strCache>
                <c:ptCount val="1"/>
                <c:pt idx="0">
                  <c:v>Flow: Cycle Time Reduction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Tryzens'!$C$4</c:f>
              <c:numCache>
                <c:formatCode>_("$"* #,##0.00_);_("$"* \(#,##0.00\);_("$"* "-"??_);_(@_)</c:formatCode>
                <c:ptCount val="1"/>
                <c:pt idx="0">
                  <c:v>150840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E8-4862-B99B-3F8075E07951}"/>
            </c:ext>
          </c:extLst>
        </c:ser>
        <c:ser>
          <c:idx val="1"/>
          <c:order val="1"/>
          <c:tx>
            <c:strRef>
              <c:f>'Overview - Tryzens'!$B$5</c:f>
              <c:strCache>
                <c:ptCount val="1"/>
                <c:pt idx="0">
                  <c:v>Flow: Planning Accuracy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Tryzens'!$C$5</c:f>
              <c:numCache>
                <c:formatCode>_("$"* #,##0.00_);_("$"* \(#,##0.00\);_("$"* "-"??_);_(@_)</c:formatCode>
                <c:ptCount val="1"/>
                <c:pt idx="0">
                  <c:v>50280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E8-4862-B99B-3F8075E07951}"/>
            </c:ext>
          </c:extLst>
        </c:ser>
        <c:ser>
          <c:idx val="2"/>
          <c:order val="2"/>
          <c:tx>
            <c:strRef>
              <c:f>'Overview - Tryzens'!$B$6</c:f>
              <c:strCache>
                <c:ptCount val="1"/>
                <c:pt idx="0">
                  <c:v>Flow: Product and Delivery Overhead Reduction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Tryzens'!$C$6</c:f>
              <c:numCache>
                <c:formatCode>_("$"* #,##0.00_);_("$"* \(#,##0.00\);_("$"* "-"??_);_(@_)</c:formatCode>
                <c:ptCount val="1"/>
                <c:pt idx="0">
                  <c:v>25140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E8-4862-B99B-3F8075E07951}"/>
            </c:ext>
          </c:extLst>
        </c:ser>
        <c:ser>
          <c:idx val="3"/>
          <c:order val="3"/>
          <c:tx>
            <c:strRef>
              <c:f>'Overview - Tryzens'!$B$7</c:f>
              <c:strCache>
                <c:ptCount val="1"/>
                <c:pt idx="0">
                  <c:v>Flow: Avoided Delays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Tryzens'!$C$7</c:f>
              <c:numCache>
                <c:formatCode>_("$"* #,##0.00_);_("$"* \(#,##0.00\);_("$"* "-"??_);_(@_)</c:formatCode>
                <c:ptCount val="1"/>
                <c:pt idx="0">
                  <c:v>25140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E8-4862-B99B-3F8075E07951}"/>
            </c:ext>
          </c:extLst>
        </c:ser>
        <c:ser>
          <c:idx val="4"/>
          <c:order val="4"/>
          <c:tx>
            <c:strRef>
              <c:f>'Overview - Tryzens'!$B$9</c:f>
              <c:strCache>
                <c:ptCount val="1"/>
                <c:pt idx="0">
                  <c:v>AI: Engineering Productivity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Tryzens'!$C$9</c:f>
              <c:numCache>
                <c:formatCode>_("$"* #,##0.00_);_("$"* \(#,##0.00\);_("$"* "-"??_);_(@_)</c:formatCode>
                <c:ptCount val="1"/>
                <c:pt idx="0">
                  <c:v>402240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E8-4862-B99B-3F8075E07951}"/>
            </c:ext>
          </c:extLst>
        </c:ser>
        <c:ser>
          <c:idx val="5"/>
          <c:order val="5"/>
          <c:tx>
            <c:strRef>
              <c:f>'Overview - Tryzens'!$B$10</c:f>
              <c:strCache>
                <c:ptCount val="1"/>
                <c:pt idx="0">
                  <c:v>AI: Readiness + Refinement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Tryzens'!$C$10</c:f>
              <c:numCache>
                <c:formatCode>_("$"* #,##0.00_);_("$"* \(#,##0.00\);_("$"* "-"??_);_(@_)</c:formatCode>
                <c:ptCount val="1"/>
                <c:pt idx="0">
                  <c:v>100560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E8-4862-B99B-3F8075E07951}"/>
            </c:ext>
          </c:extLst>
        </c:ser>
        <c:ser>
          <c:idx val="6"/>
          <c:order val="6"/>
          <c:tx>
            <c:strRef>
              <c:f>'Overview - Tryzens'!$B$11</c:f>
              <c:strCache>
                <c:ptCount val="1"/>
                <c:pt idx="0">
                  <c:v>AI: PMO Automation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Tryzens'!$C$11</c:f>
              <c:numCache>
                <c:formatCode>_("$"* #,##0.00_);_("$"* \(#,##0.00\);_("$"* "-"??_);_(@_)</c:formatCode>
                <c:ptCount val="1"/>
                <c:pt idx="0">
                  <c:v>90504.000000000015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E8-4862-B99B-3F8075E07951}"/>
            </c:ext>
          </c:extLst>
        </c:ser>
        <c:ser>
          <c:idx val="7"/>
          <c:order val="7"/>
          <c:tx>
            <c:strRef>
              <c:f>'Overview - Tryzens'!$B$12</c:f>
              <c:strCache>
                <c:ptCount val="1"/>
                <c:pt idx="0">
                  <c:v>AI: Risk Forecasting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Tryzens'!$C$12</c:f>
              <c:numCache>
                <c:formatCode>_("$"* #,##0.00_);_("$"* \(#,##0.00\);_("$"* "-"??_);_(@_)</c:formatCode>
                <c:ptCount val="1"/>
                <c:pt idx="0">
                  <c:v>70392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8E8-4862-B99B-3F8075E07951}"/>
            </c:ext>
          </c:extLst>
        </c:ser>
        <c:ser>
          <c:idx val="8"/>
          <c:order val="8"/>
          <c:tx>
            <c:strRef>
              <c:f>'Overview - Tryzens'!$B$13</c:f>
              <c:strCache>
                <c:ptCount val="1"/>
                <c:pt idx="0">
                  <c:v>AI: Agent Orchestration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'Overview - Tryzens'!$C$13</c:f>
              <c:numCache>
                <c:formatCode>_("$"* #,##0.00_);_("$"* \(#,##0.00\);_("$"* "-"??_);_(@_)</c:formatCode>
                <c:ptCount val="1"/>
                <c:pt idx="0">
                  <c:v>110616.00000000001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8E8-4862-B99B-3F8075E079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49809695"/>
        <c:axId val="649813535"/>
      </c:barChart>
      <c:catAx>
        <c:axId val="649809695"/>
        <c:scaling>
          <c:orientation val="minMax"/>
        </c:scaling>
        <c:delete val="1"/>
        <c:axPos val="l"/>
        <c:majorTickMark val="none"/>
        <c:minorTickMark val="none"/>
        <c:tickLblPos val="nextTo"/>
        <c:crossAx val="649813535"/>
        <c:crosses val="autoZero"/>
        <c:auto val="1"/>
        <c:lblAlgn val="ctr"/>
        <c:lblOffset val="100"/>
        <c:noMultiLvlLbl val="0"/>
      </c:catAx>
      <c:valAx>
        <c:axId val="64981353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64980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1.2550200803212851E-2"/>
          <c:y val="0.15891501090996865"/>
          <c:w val="0.31836137199717507"/>
          <c:h val="0.771336008552506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</xdr:colOff>
      <xdr:row>1</xdr:row>
      <xdr:rowOff>26126</xdr:rowOff>
    </xdr:from>
    <xdr:to>
      <xdr:col>13</xdr:col>
      <xdr:colOff>594360</xdr:colOff>
      <xdr:row>25</xdr:row>
      <xdr:rowOff>174172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6DA6412-A7CC-5670-2456-21F53D740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8163</xdr:colOff>
      <xdr:row>1</xdr:row>
      <xdr:rowOff>21227</xdr:rowOff>
    </xdr:from>
    <xdr:to>
      <xdr:col>24</xdr:col>
      <xdr:colOff>593379</xdr:colOff>
      <xdr:row>25</xdr:row>
      <xdr:rowOff>168674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70803CE-BCAC-4C64-20EC-EAFFDEAD01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33338</xdr:colOff>
      <xdr:row>1</xdr:row>
      <xdr:rowOff>52388</xdr:rowOff>
    </xdr:from>
    <xdr:to>
      <xdr:col>36</xdr:col>
      <xdr:colOff>8954</xdr:colOff>
      <xdr:row>26</xdr:row>
      <xdr:rowOff>18860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FAE3C0F-C3D0-991C-79F7-B588F113A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</xdr:colOff>
      <xdr:row>1</xdr:row>
      <xdr:rowOff>26126</xdr:rowOff>
    </xdr:from>
    <xdr:to>
      <xdr:col>13</xdr:col>
      <xdr:colOff>594360</xdr:colOff>
      <xdr:row>25</xdr:row>
      <xdr:rowOff>174172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BA37FA-FFE6-4820-809A-04F63D6A62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8163</xdr:colOff>
      <xdr:row>1</xdr:row>
      <xdr:rowOff>21227</xdr:rowOff>
    </xdr:from>
    <xdr:to>
      <xdr:col>24</xdr:col>
      <xdr:colOff>593379</xdr:colOff>
      <xdr:row>25</xdr:row>
      <xdr:rowOff>168674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B02A8F-874B-47B5-B945-01CEBA5FFC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33338</xdr:colOff>
      <xdr:row>1</xdr:row>
      <xdr:rowOff>52388</xdr:rowOff>
    </xdr:from>
    <xdr:to>
      <xdr:col>36</xdr:col>
      <xdr:colOff>8954</xdr:colOff>
      <xdr:row>26</xdr:row>
      <xdr:rowOff>18860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C91937-D65C-401E-80E6-90C2C5860D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ain.com/insights/from-pilots-to-payoff-generative-ai-in-software-development-technology-report-2025" TargetMode="External"/><Relationship Id="rId1" Type="http://schemas.openxmlformats.org/officeDocument/2006/relationships/hyperlink" Target="https://businessmap.io/wp-content/uploads/downloads/Ultimate_Kanban_Scaling%20Agile_without_Frameworks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001"/>
  <sheetViews>
    <sheetView showGridLines="0" zoomScale="80" zoomScaleNormal="80" workbookViewId="0">
      <selection activeCell="F3" sqref="F3:F4"/>
    </sheetView>
  </sheetViews>
  <sheetFormatPr defaultColWidth="14.44140625" defaultRowHeight="15" customHeight="1" x14ac:dyDescent="0.3"/>
  <cols>
    <col min="1" max="1" width="3.33203125" customWidth="1"/>
    <col min="2" max="6" width="26.77734375" customWidth="1"/>
    <col min="7" max="7" width="3.33203125" customWidth="1"/>
    <col min="8" max="27" width="8.6640625" customWidth="1"/>
  </cols>
  <sheetData>
    <row r="1" spans="2:7" ht="14.4" x14ac:dyDescent="0.3"/>
    <row r="2" spans="2:7" s="1" customFormat="1" ht="14.4" x14ac:dyDescent="0.3">
      <c r="B2" s="19" t="s">
        <v>0</v>
      </c>
      <c r="C2" s="19" t="s">
        <v>1</v>
      </c>
      <c r="D2" s="19" t="s">
        <v>38</v>
      </c>
      <c r="E2" s="19" t="s">
        <v>39</v>
      </c>
      <c r="F2" s="19" t="s">
        <v>2</v>
      </c>
      <c r="G2" s="2"/>
    </row>
    <row r="3" spans="2:7" ht="14.4" x14ac:dyDescent="0.3">
      <c r="B3" s="30" t="s">
        <v>73</v>
      </c>
      <c r="C3" s="4">
        <v>21</v>
      </c>
      <c r="D3" s="5">
        <v>44000</v>
      </c>
      <c r="E3" s="5">
        <f t="shared" ref="E3:E7" si="0">C3*D3</f>
        <v>924000</v>
      </c>
      <c r="F3" s="26" t="s">
        <v>61</v>
      </c>
    </row>
    <row r="4" spans="2:7" ht="14.4" x14ac:dyDescent="0.3">
      <c r="B4" s="30" t="s">
        <v>74</v>
      </c>
      <c r="C4" s="4">
        <v>10</v>
      </c>
      <c r="D4" s="5">
        <v>44000</v>
      </c>
      <c r="E4" s="5">
        <f t="shared" si="0"/>
        <v>440000</v>
      </c>
      <c r="F4" s="26" t="s">
        <v>61</v>
      </c>
    </row>
    <row r="5" spans="2:7" ht="14.4" x14ac:dyDescent="0.3">
      <c r="B5" s="3" t="s">
        <v>3</v>
      </c>
      <c r="C5" s="4">
        <v>9</v>
      </c>
      <c r="D5" s="5">
        <v>83000</v>
      </c>
      <c r="E5" s="5">
        <f t="shared" si="0"/>
        <v>747000</v>
      </c>
      <c r="F5" s="26" t="s">
        <v>61</v>
      </c>
    </row>
    <row r="6" spans="2:7" ht="14.4" x14ac:dyDescent="0.3">
      <c r="B6" s="3" t="s">
        <v>4</v>
      </c>
      <c r="C6" s="4">
        <v>5</v>
      </c>
      <c r="D6" s="5">
        <v>113000</v>
      </c>
      <c r="E6" s="5">
        <f t="shared" si="0"/>
        <v>565000</v>
      </c>
      <c r="F6" s="26" t="s">
        <v>61</v>
      </c>
    </row>
    <row r="7" spans="2:7" ht="14.4" x14ac:dyDescent="0.3">
      <c r="B7" s="3" t="s">
        <v>5</v>
      </c>
      <c r="C7" s="4">
        <v>12</v>
      </c>
      <c r="D7" s="5">
        <v>196000</v>
      </c>
      <c r="E7" s="5">
        <f t="shared" si="0"/>
        <v>2352000</v>
      </c>
      <c r="F7" s="26" t="s">
        <v>61</v>
      </c>
    </row>
    <row r="8" spans="2:7" thickBot="1" x14ac:dyDescent="0.35">
      <c r="B8" s="6"/>
      <c r="E8" s="7"/>
    </row>
    <row r="9" spans="2:7" thickTop="1" x14ac:dyDescent="0.3">
      <c r="B9" s="6" t="s">
        <v>6</v>
      </c>
      <c r="E9" s="8">
        <f>SUM(E3:E7)</f>
        <v>5028000</v>
      </c>
    </row>
    <row r="11" spans="2:7" ht="14.4" x14ac:dyDescent="0.3"/>
    <row r="17" ht="14.4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000"/>
  <sheetViews>
    <sheetView showGridLines="0" zoomScale="80" zoomScaleNormal="80" workbookViewId="0">
      <selection activeCell="J12" sqref="J12"/>
    </sheetView>
  </sheetViews>
  <sheetFormatPr defaultRowHeight="15" customHeight="1" x14ac:dyDescent="0.3"/>
  <cols>
    <col min="1" max="1" width="3.33203125" customWidth="1"/>
    <col min="2" max="5" width="26.77734375" customWidth="1"/>
    <col min="6" max="6" width="3.33203125" customWidth="1"/>
  </cols>
  <sheetData>
    <row r="1" spans="2:5" ht="14.4" x14ac:dyDescent="0.3"/>
    <row r="2" spans="2:5" s="2" customFormat="1" ht="14.4" x14ac:dyDescent="0.3">
      <c r="B2" s="19" t="s">
        <v>7</v>
      </c>
      <c r="C2" s="19" t="s">
        <v>40</v>
      </c>
      <c r="D2" s="19" t="s">
        <v>41</v>
      </c>
      <c r="E2" s="19" t="s">
        <v>2</v>
      </c>
    </row>
    <row r="3" spans="2:5" ht="14.4" x14ac:dyDescent="0.3">
      <c r="B3" s="3" t="s">
        <v>8</v>
      </c>
      <c r="C3" s="5">
        <f>400*12</f>
        <v>4800</v>
      </c>
      <c r="D3" s="5">
        <v>0</v>
      </c>
      <c r="E3" s="26" t="s">
        <v>59</v>
      </c>
    </row>
    <row r="4" spans="2:5" ht="14.4" x14ac:dyDescent="0.3">
      <c r="B4" s="3" t="s">
        <v>9</v>
      </c>
      <c r="C4" s="5">
        <f>55*20*12</f>
        <v>13200</v>
      </c>
      <c r="D4" s="5">
        <v>0</v>
      </c>
      <c r="E4" s="26" t="s">
        <v>60</v>
      </c>
    </row>
    <row r="5" spans="2:5" ht="14.4" x14ac:dyDescent="0.3">
      <c r="B5" s="28" t="s">
        <v>71</v>
      </c>
      <c r="C5" s="5">
        <f>1000*12</f>
        <v>12000</v>
      </c>
      <c r="D5" s="5">
        <v>0</v>
      </c>
      <c r="E5" s="29" t="s">
        <v>72</v>
      </c>
    </row>
    <row r="6" spans="2:5" ht="14.4" x14ac:dyDescent="0.3">
      <c r="B6" s="3" t="s">
        <v>10</v>
      </c>
      <c r="C6" s="5">
        <v>0</v>
      </c>
      <c r="D6" s="5">
        <v>100000</v>
      </c>
      <c r="E6" s="3" t="s">
        <v>11</v>
      </c>
    </row>
    <row r="7" spans="2:5" ht="14.4" x14ac:dyDescent="0.3">
      <c r="B7" s="3" t="s">
        <v>12</v>
      </c>
      <c r="C7" s="5">
        <v>0</v>
      </c>
      <c r="D7" s="5">
        <v>150000</v>
      </c>
      <c r="E7" s="3" t="s">
        <v>11</v>
      </c>
    </row>
    <row r="8" spans="2:5" thickBot="1" x14ac:dyDescent="0.35">
      <c r="B8" s="6"/>
      <c r="C8" s="9"/>
      <c r="D8" s="9"/>
      <c r="E8" s="6"/>
    </row>
    <row r="9" spans="2:5" thickTop="1" x14ac:dyDescent="0.3">
      <c r="B9" s="27" t="s">
        <v>66</v>
      </c>
      <c r="C9" s="8">
        <f>SUM(C3:C7)</f>
        <v>30000</v>
      </c>
      <c r="D9" s="8">
        <f>SUM(D3:D7)</f>
        <v>250000</v>
      </c>
    </row>
    <row r="10" spans="2:5" ht="14.4" x14ac:dyDescent="0.3"/>
    <row r="11" spans="2:5" ht="14.4" x14ac:dyDescent="0.3"/>
    <row r="12" spans="2:5" ht="14.4" x14ac:dyDescent="0.3"/>
    <row r="13" spans="2:5" ht="14.4" x14ac:dyDescent="0.3"/>
    <row r="14" spans="2:5" ht="14.4" x14ac:dyDescent="0.3"/>
    <row r="15" spans="2:5" ht="14.4" x14ac:dyDescent="0.3"/>
    <row r="16" spans="2:5" ht="14.4" x14ac:dyDescent="0.3"/>
    <row r="17" ht="14.4" x14ac:dyDescent="0.3"/>
    <row r="18" ht="14.4" x14ac:dyDescent="0.3"/>
    <row r="19" ht="14.4" x14ac:dyDescent="0.3"/>
    <row r="20" ht="14.4" x14ac:dyDescent="0.3"/>
    <row r="21" ht="14.4" x14ac:dyDescent="0.3"/>
    <row r="22" ht="14.4" x14ac:dyDescent="0.3"/>
    <row r="23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  <row r="54" ht="14.4" x14ac:dyDescent="0.3"/>
    <row r="55" ht="14.4" x14ac:dyDescent="0.3"/>
    <row r="56" ht="14.4" x14ac:dyDescent="0.3"/>
    <row r="57" ht="14.4" x14ac:dyDescent="0.3"/>
    <row r="58" ht="14.4" x14ac:dyDescent="0.3"/>
    <row r="59" ht="14.4" x14ac:dyDescent="0.3"/>
    <row r="60" ht="14.4" x14ac:dyDescent="0.3"/>
    <row r="61" ht="14.4" x14ac:dyDescent="0.3"/>
    <row r="62" ht="14.4" x14ac:dyDescent="0.3"/>
    <row r="63" ht="14.4" x14ac:dyDescent="0.3"/>
    <row r="64" ht="14.4" x14ac:dyDescent="0.3"/>
    <row r="65" ht="14.4" x14ac:dyDescent="0.3"/>
    <row r="66" ht="14.4" x14ac:dyDescent="0.3"/>
    <row r="67" ht="14.4" x14ac:dyDescent="0.3"/>
    <row r="68" ht="14.4" x14ac:dyDescent="0.3"/>
    <row r="69" ht="14.4" x14ac:dyDescent="0.3"/>
    <row r="70" ht="14.4" x14ac:dyDescent="0.3"/>
    <row r="71" ht="14.4" x14ac:dyDescent="0.3"/>
    <row r="72" ht="14.4" x14ac:dyDescent="0.3"/>
    <row r="73" ht="14.4" x14ac:dyDescent="0.3"/>
    <row r="74" ht="14.4" x14ac:dyDescent="0.3"/>
    <row r="75" ht="14.4" x14ac:dyDescent="0.3"/>
    <row r="76" ht="14.4" x14ac:dyDescent="0.3"/>
    <row r="77" ht="14.4" x14ac:dyDescent="0.3"/>
    <row r="78" ht="14.4" x14ac:dyDescent="0.3"/>
    <row r="79" ht="14.4" x14ac:dyDescent="0.3"/>
    <row r="80" ht="14.4" x14ac:dyDescent="0.3"/>
    <row r="81" ht="14.4" x14ac:dyDescent="0.3"/>
    <row r="82" ht="14.4" x14ac:dyDescent="0.3"/>
    <row r="83" ht="14.4" x14ac:dyDescent="0.3"/>
    <row r="84" ht="14.4" x14ac:dyDescent="0.3"/>
    <row r="85" ht="14.4" x14ac:dyDescent="0.3"/>
    <row r="86" ht="14.4" x14ac:dyDescent="0.3"/>
    <row r="87" ht="14.4" x14ac:dyDescent="0.3"/>
    <row r="88" ht="14.4" x14ac:dyDescent="0.3"/>
    <row r="89" ht="14.4" x14ac:dyDescent="0.3"/>
    <row r="90" ht="14.4" x14ac:dyDescent="0.3"/>
    <row r="91" ht="14.4" x14ac:dyDescent="0.3"/>
    <row r="92" ht="14.4" x14ac:dyDescent="0.3"/>
    <row r="93" ht="14.4" x14ac:dyDescent="0.3"/>
    <row r="94" ht="14.4" x14ac:dyDescent="0.3"/>
    <row r="95" ht="14.4" x14ac:dyDescent="0.3"/>
    <row r="96" ht="14.4" x14ac:dyDescent="0.3"/>
    <row r="97" ht="14.4" x14ac:dyDescent="0.3"/>
    <row r="98" ht="14.4" x14ac:dyDescent="0.3"/>
    <row r="99" ht="14.4" x14ac:dyDescent="0.3"/>
    <row r="100" ht="14.4" x14ac:dyDescent="0.3"/>
    <row r="101" ht="14.4" x14ac:dyDescent="0.3"/>
    <row r="102" ht="14.4" x14ac:dyDescent="0.3"/>
    <row r="103" ht="14.4" x14ac:dyDescent="0.3"/>
    <row r="104" ht="14.4" x14ac:dyDescent="0.3"/>
    <row r="105" ht="14.4" x14ac:dyDescent="0.3"/>
    <row r="106" ht="14.4" x14ac:dyDescent="0.3"/>
    <row r="107" ht="14.4" x14ac:dyDescent="0.3"/>
    <row r="108" ht="14.4" x14ac:dyDescent="0.3"/>
    <row r="109" ht="14.4" x14ac:dyDescent="0.3"/>
    <row r="110" ht="14.4" x14ac:dyDescent="0.3"/>
    <row r="111" ht="14.4" x14ac:dyDescent="0.3"/>
    <row r="112" ht="14.4" x14ac:dyDescent="0.3"/>
    <row r="113" ht="14.4" x14ac:dyDescent="0.3"/>
    <row r="114" ht="14.4" x14ac:dyDescent="0.3"/>
    <row r="115" ht="14.4" x14ac:dyDescent="0.3"/>
    <row r="116" ht="14.4" x14ac:dyDescent="0.3"/>
    <row r="117" ht="14.4" x14ac:dyDescent="0.3"/>
    <row r="118" ht="14.4" x14ac:dyDescent="0.3"/>
    <row r="119" ht="14.4" x14ac:dyDescent="0.3"/>
    <row r="120" ht="14.4" x14ac:dyDescent="0.3"/>
    <row r="121" ht="14.4" x14ac:dyDescent="0.3"/>
    <row r="122" ht="14.4" x14ac:dyDescent="0.3"/>
    <row r="123" ht="14.4" x14ac:dyDescent="0.3"/>
    <row r="124" ht="14.4" x14ac:dyDescent="0.3"/>
    <row r="125" ht="14.4" x14ac:dyDescent="0.3"/>
    <row r="126" ht="14.4" x14ac:dyDescent="0.3"/>
    <row r="127" ht="14.4" x14ac:dyDescent="0.3"/>
    <row r="128" ht="14.4" x14ac:dyDescent="0.3"/>
    <row r="129" ht="14.4" x14ac:dyDescent="0.3"/>
    <row r="130" ht="14.4" x14ac:dyDescent="0.3"/>
    <row r="131" ht="14.4" x14ac:dyDescent="0.3"/>
    <row r="132" ht="14.4" x14ac:dyDescent="0.3"/>
    <row r="133" ht="14.4" x14ac:dyDescent="0.3"/>
    <row r="134" ht="14.4" x14ac:dyDescent="0.3"/>
    <row r="135" ht="14.4" x14ac:dyDescent="0.3"/>
    <row r="136" ht="14.4" x14ac:dyDescent="0.3"/>
    <row r="137" ht="14.4" x14ac:dyDescent="0.3"/>
    <row r="138" ht="14.4" x14ac:dyDescent="0.3"/>
    <row r="139" ht="14.4" x14ac:dyDescent="0.3"/>
    <row r="140" ht="14.4" x14ac:dyDescent="0.3"/>
    <row r="141" ht="14.4" x14ac:dyDescent="0.3"/>
    <row r="142" ht="14.4" x14ac:dyDescent="0.3"/>
    <row r="143" ht="14.4" x14ac:dyDescent="0.3"/>
    <row r="144" ht="14.4" x14ac:dyDescent="0.3"/>
    <row r="145" ht="14.4" x14ac:dyDescent="0.3"/>
    <row r="146" ht="14.4" x14ac:dyDescent="0.3"/>
    <row r="147" ht="14.4" x14ac:dyDescent="0.3"/>
    <row r="148" ht="14.4" x14ac:dyDescent="0.3"/>
    <row r="149" ht="14.4" x14ac:dyDescent="0.3"/>
    <row r="150" ht="14.4" x14ac:dyDescent="0.3"/>
    <row r="151" ht="14.4" x14ac:dyDescent="0.3"/>
    <row r="152" ht="14.4" x14ac:dyDescent="0.3"/>
    <row r="153" ht="14.4" x14ac:dyDescent="0.3"/>
    <row r="154" ht="14.4" x14ac:dyDescent="0.3"/>
    <row r="155" ht="14.4" x14ac:dyDescent="0.3"/>
    <row r="156" ht="14.4" x14ac:dyDescent="0.3"/>
    <row r="157" ht="14.4" x14ac:dyDescent="0.3"/>
    <row r="158" ht="14.4" x14ac:dyDescent="0.3"/>
    <row r="159" ht="14.4" x14ac:dyDescent="0.3"/>
    <row r="160" ht="14.4" x14ac:dyDescent="0.3"/>
    <row r="161" ht="14.4" x14ac:dyDescent="0.3"/>
    <row r="162" ht="14.4" x14ac:dyDescent="0.3"/>
    <row r="163" ht="14.4" x14ac:dyDescent="0.3"/>
    <row r="164" ht="14.4" x14ac:dyDescent="0.3"/>
    <row r="165" ht="14.4" x14ac:dyDescent="0.3"/>
    <row r="166" ht="14.4" x14ac:dyDescent="0.3"/>
    <row r="167" ht="14.4" x14ac:dyDescent="0.3"/>
    <row r="168" ht="14.4" x14ac:dyDescent="0.3"/>
    <row r="169" ht="14.4" x14ac:dyDescent="0.3"/>
    <row r="170" ht="14.4" x14ac:dyDescent="0.3"/>
    <row r="171" ht="14.4" x14ac:dyDescent="0.3"/>
    <row r="172" ht="14.4" x14ac:dyDescent="0.3"/>
    <row r="173" ht="14.4" x14ac:dyDescent="0.3"/>
    <row r="174" ht="14.4" x14ac:dyDescent="0.3"/>
    <row r="175" ht="14.4" x14ac:dyDescent="0.3"/>
    <row r="176" ht="14.4" x14ac:dyDescent="0.3"/>
    <row r="177" ht="14.4" x14ac:dyDescent="0.3"/>
    <row r="178" ht="14.4" x14ac:dyDescent="0.3"/>
    <row r="179" ht="14.4" x14ac:dyDescent="0.3"/>
    <row r="180" ht="14.4" x14ac:dyDescent="0.3"/>
    <row r="181" ht="14.4" x14ac:dyDescent="0.3"/>
    <row r="182" ht="14.4" x14ac:dyDescent="0.3"/>
    <row r="183" ht="14.4" x14ac:dyDescent="0.3"/>
    <row r="184" ht="14.4" x14ac:dyDescent="0.3"/>
    <row r="185" ht="14.4" x14ac:dyDescent="0.3"/>
    <row r="186" ht="14.4" x14ac:dyDescent="0.3"/>
    <row r="187" ht="14.4" x14ac:dyDescent="0.3"/>
    <row r="188" ht="14.4" x14ac:dyDescent="0.3"/>
    <row r="189" ht="14.4" x14ac:dyDescent="0.3"/>
    <row r="190" ht="14.4" x14ac:dyDescent="0.3"/>
    <row r="191" ht="14.4" x14ac:dyDescent="0.3"/>
    <row r="192" ht="14.4" x14ac:dyDescent="0.3"/>
    <row r="193" ht="14.4" x14ac:dyDescent="0.3"/>
    <row r="194" ht="14.4" x14ac:dyDescent="0.3"/>
    <row r="195" ht="14.4" x14ac:dyDescent="0.3"/>
    <row r="196" ht="14.4" x14ac:dyDescent="0.3"/>
    <row r="197" ht="14.4" x14ac:dyDescent="0.3"/>
    <row r="198" ht="14.4" x14ac:dyDescent="0.3"/>
    <row r="199" ht="14.4" x14ac:dyDescent="0.3"/>
    <row r="200" ht="14.4" x14ac:dyDescent="0.3"/>
    <row r="201" ht="14.4" x14ac:dyDescent="0.3"/>
    <row r="202" ht="14.4" x14ac:dyDescent="0.3"/>
    <row r="203" ht="14.4" x14ac:dyDescent="0.3"/>
    <row r="204" ht="14.4" x14ac:dyDescent="0.3"/>
    <row r="205" ht="14.4" x14ac:dyDescent="0.3"/>
    <row r="206" ht="14.4" x14ac:dyDescent="0.3"/>
    <row r="207" ht="14.4" x14ac:dyDescent="0.3"/>
    <row r="208" ht="14.4" x14ac:dyDescent="0.3"/>
    <row r="209" ht="14.4" x14ac:dyDescent="0.3"/>
    <row r="210" ht="14.4" x14ac:dyDescent="0.3"/>
    <row r="211" ht="14.4" x14ac:dyDescent="0.3"/>
    <row r="212" ht="14.4" x14ac:dyDescent="0.3"/>
    <row r="213" ht="14.4" x14ac:dyDescent="0.3"/>
    <row r="214" ht="14.4" x14ac:dyDescent="0.3"/>
    <row r="215" ht="14.4" x14ac:dyDescent="0.3"/>
    <row r="216" ht="14.4" x14ac:dyDescent="0.3"/>
    <row r="217" ht="14.4" x14ac:dyDescent="0.3"/>
    <row r="218" ht="14.4" x14ac:dyDescent="0.3"/>
    <row r="219" ht="14.4" x14ac:dyDescent="0.3"/>
    <row r="220" ht="14.4" x14ac:dyDescent="0.3"/>
    <row r="221" ht="14.4" x14ac:dyDescent="0.3"/>
    <row r="222" ht="14.4" x14ac:dyDescent="0.3"/>
    <row r="223" ht="14.4" x14ac:dyDescent="0.3"/>
    <row r="224" ht="14.4" x14ac:dyDescent="0.3"/>
    <row r="225" ht="14.4" x14ac:dyDescent="0.3"/>
    <row r="226" ht="14.4" x14ac:dyDescent="0.3"/>
    <row r="227" ht="14.4" x14ac:dyDescent="0.3"/>
    <row r="228" ht="14.4" x14ac:dyDescent="0.3"/>
    <row r="229" ht="14.4" x14ac:dyDescent="0.3"/>
    <row r="230" ht="14.4" x14ac:dyDescent="0.3"/>
    <row r="231" ht="14.4" x14ac:dyDescent="0.3"/>
    <row r="232" ht="14.4" x14ac:dyDescent="0.3"/>
    <row r="233" ht="14.4" x14ac:dyDescent="0.3"/>
    <row r="234" ht="14.4" x14ac:dyDescent="0.3"/>
    <row r="235" ht="14.4" x14ac:dyDescent="0.3"/>
    <row r="236" ht="14.4" x14ac:dyDescent="0.3"/>
    <row r="237" ht="14.4" x14ac:dyDescent="0.3"/>
    <row r="238" ht="14.4" x14ac:dyDescent="0.3"/>
    <row r="239" ht="14.4" x14ac:dyDescent="0.3"/>
    <row r="240" ht="14.4" x14ac:dyDescent="0.3"/>
    <row r="241" ht="14.4" x14ac:dyDescent="0.3"/>
    <row r="242" ht="14.4" x14ac:dyDescent="0.3"/>
    <row r="243" ht="14.4" x14ac:dyDescent="0.3"/>
    <row r="244" ht="14.4" x14ac:dyDescent="0.3"/>
    <row r="245" ht="14.4" x14ac:dyDescent="0.3"/>
    <row r="246" ht="14.4" x14ac:dyDescent="0.3"/>
    <row r="247" ht="14.4" x14ac:dyDescent="0.3"/>
    <row r="248" ht="14.4" x14ac:dyDescent="0.3"/>
    <row r="249" ht="14.4" x14ac:dyDescent="0.3"/>
    <row r="250" ht="14.4" x14ac:dyDescent="0.3"/>
    <row r="251" ht="14.4" x14ac:dyDescent="0.3"/>
    <row r="252" ht="14.4" x14ac:dyDescent="0.3"/>
    <row r="253" ht="14.4" x14ac:dyDescent="0.3"/>
    <row r="254" ht="14.4" x14ac:dyDescent="0.3"/>
    <row r="255" ht="14.4" x14ac:dyDescent="0.3"/>
    <row r="256" ht="14.4" x14ac:dyDescent="0.3"/>
    <row r="257" ht="14.4" x14ac:dyDescent="0.3"/>
    <row r="258" ht="14.4" x14ac:dyDescent="0.3"/>
    <row r="259" ht="14.4" x14ac:dyDescent="0.3"/>
    <row r="260" ht="14.4" x14ac:dyDescent="0.3"/>
    <row r="261" ht="14.4" x14ac:dyDescent="0.3"/>
    <row r="262" ht="14.4" x14ac:dyDescent="0.3"/>
    <row r="263" ht="14.4" x14ac:dyDescent="0.3"/>
    <row r="264" ht="14.4" x14ac:dyDescent="0.3"/>
    <row r="265" ht="14.4" x14ac:dyDescent="0.3"/>
    <row r="266" ht="14.4" x14ac:dyDescent="0.3"/>
    <row r="267" ht="14.4" x14ac:dyDescent="0.3"/>
    <row r="268" ht="14.4" x14ac:dyDescent="0.3"/>
    <row r="269" ht="14.4" x14ac:dyDescent="0.3"/>
    <row r="270" ht="14.4" x14ac:dyDescent="0.3"/>
    <row r="271" ht="14.4" x14ac:dyDescent="0.3"/>
    <row r="272" ht="14.4" x14ac:dyDescent="0.3"/>
    <row r="273" ht="14.4" x14ac:dyDescent="0.3"/>
    <row r="274" ht="14.4" x14ac:dyDescent="0.3"/>
    <row r="275" ht="14.4" x14ac:dyDescent="0.3"/>
    <row r="276" ht="14.4" x14ac:dyDescent="0.3"/>
    <row r="277" ht="14.4" x14ac:dyDescent="0.3"/>
    <row r="278" ht="14.4" x14ac:dyDescent="0.3"/>
    <row r="279" ht="14.4" x14ac:dyDescent="0.3"/>
    <row r="280" ht="14.4" x14ac:dyDescent="0.3"/>
    <row r="281" ht="14.4" x14ac:dyDescent="0.3"/>
    <row r="282" ht="14.4" x14ac:dyDescent="0.3"/>
    <row r="283" ht="14.4" x14ac:dyDescent="0.3"/>
    <row r="284" ht="14.4" x14ac:dyDescent="0.3"/>
    <row r="285" ht="14.4" x14ac:dyDescent="0.3"/>
    <row r="286" ht="14.4" x14ac:dyDescent="0.3"/>
    <row r="287" ht="14.4" x14ac:dyDescent="0.3"/>
    <row r="288" ht="14.4" x14ac:dyDescent="0.3"/>
    <row r="289" ht="14.4" x14ac:dyDescent="0.3"/>
    <row r="290" ht="14.4" x14ac:dyDescent="0.3"/>
    <row r="291" ht="14.4" x14ac:dyDescent="0.3"/>
    <row r="292" ht="14.4" x14ac:dyDescent="0.3"/>
    <row r="293" ht="14.4" x14ac:dyDescent="0.3"/>
    <row r="294" ht="14.4" x14ac:dyDescent="0.3"/>
    <row r="295" ht="14.4" x14ac:dyDescent="0.3"/>
    <row r="296" ht="14.4" x14ac:dyDescent="0.3"/>
    <row r="297" ht="14.4" x14ac:dyDescent="0.3"/>
    <row r="298" ht="14.4" x14ac:dyDescent="0.3"/>
    <row r="299" ht="14.4" x14ac:dyDescent="0.3"/>
    <row r="300" ht="14.4" x14ac:dyDescent="0.3"/>
    <row r="301" ht="14.4" x14ac:dyDescent="0.3"/>
    <row r="302" ht="14.4" x14ac:dyDescent="0.3"/>
    <row r="303" ht="14.4" x14ac:dyDescent="0.3"/>
    <row r="304" ht="14.4" x14ac:dyDescent="0.3"/>
    <row r="305" ht="14.4" x14ac:dyDescent="0.3"/>
    <row r="306" ht="14.4" x14ac:dyDescent="0.3"/>
    <row r="307" ht="14.4" x14ac:dyDescent="0.3"/>
    <row r="308" ht="14.4" x14ac:dyDescent="0.3"/>
    <row r="309" ht="14.4" x14ac:dyDescent="0.3"/>
    <row r="310" ht="14.4" x14ac:dyDescent="0.3"/>
    <row r="311" ht="14.4" x14ac:dyDescent="0.3"/>
    <row r="312" ht="14.4" x14ac:dyDescent="0.3"/>
    <row r="313" ht="14.4" x14ac:dyDescent="0.3"/>
    <row r="314" ht="14.4" x14ac:dyDescent="0.3"/>
    <row r="315" ht="14.4" x14ac:dyDescent="0.3"/>
    <row r="316" ht="14.4" x14ac:dyDescent="0.3"/>
    <row r="317" ht="14.4" x14ac:dyDescent="0.3"/>
    <row r="318" ht="14.4" x14ac:dyDescent="0.3"/>
    <row r="319" ht="14.4" x14ac:dyDescent="0.3"/>
    <row r="320" ht="14.4" x14ac:dyDescent="0.3"/>
    <row r="321" ht="14.4" x14ac:dyDescent="0.3"/>
    <row r="322" ht="14.4" x14ac:dyDescent="0.3"/>
    <row r="323" ht="14.4" x14ac:dyDescent="0.3"/>
    <row r="324" ht="14.4" x14ac:dyDescent="0.3"/>
    <row r="325" ht="14.4" x14ac:dyDescent="0.3"/>
    <row r="326" ht="14.4" x14ac:dyDescent="0.3"/>
    <row r="327" ht="14.4" x14ac:dyDescent="0.3"/>
    <row r="328" ht="14.4" x14ac:dyDescent="0.3"/>
    <row r="329" ht="14.4" x14ac:dyDescent="0.3"/>
    <row r="330" ht="14.4" x14ac:dyDescent="0.3"/>
    <row r="331" ht="14.4" x14ac:dyDescent="0.3"/>
    <row r="332" ht="14.4" x14ac:dyDescent="0.3"/>
    <row r="333" ht="14.4" x14ac:dyDescent="0.3"/>
    <row r="334" ht="14.4" x14ac:dyDescent="0.3"/>
    <row r="335" ht="14.4" x14ac:dyDescent="0.3"/>
    <row r="336" ht="14.4" x14ac:dyDescent="0.3"/>
    <row r="337" ht="14.4" x14ac:dyDescent="0.3"/>
    <row r="338" ht="14.4" x14ac:dyDescent="0.3"/>
    <row r="339" ht="14.4" x14ac:dyDescent="0.3"/>
    <row r="340" ht="14.4" x14ac:dyDescent="0.3"/>
    <row r="341" ht="14.4" x14ac:dyDescent="0.3"/>
    <row r="342" ht="14.4" x14ac:dyDescent="0.3"/>
    <row r="343" ht="14.4" x14ac:dyDescent="0.3"/>
    <row r="344" ht="14.4" x14ac:dyDescent="0.3"/>
    <row r="345" ht="14.4" x14ac:dyDescent="0.3"/>
    <row r="346" ht="14.4" x14ac:dyDescent="0.3"/>
    <row r="347" ht="14.4" x14ac:dyDescent="0.3"/>
    <row r="348" ht="14.4" x14ac:dyDescent="0.3"/>
    <row r="349" ht="14.4" x14ac:dyDescent="0.3"/>
    <row r="350" ht="14.4" x14ac:dyDescent="0.3"/>
    <row r="351" ht="14.4" x14ac:dyDescent="0.3"/>
    <row r="352" ht="14.4" x14ac:dyDescent="0.3"/>
    <row r="353" ht="14.4" x14ac:dyDescent="0.3"/>
    <row r="354" ht="14.4" x14ac:dyDescent="0.3"/>
    <row r="355" ht="14.4" x14ac:dyDescent="0.3"/>
    <row r="356" ht="14.4" x14ac:dyDescent="0.3"/>
    <row r="357" ht="14.4" x14ac:dyDescent="0.3"/>
    <row r="358" ht="14.4" x14ac:dyDescent="0.3"/>
    <row r="359" ht="14.4" x14ac:dyDescent="0.3"/>
    <row r="360" ht="14.4" x14ac:dyDescent="0.3"/>
    <row r="361" ht="14.4" x14ac:dyDescent="0.3"/>
    <row r="362" ht="14.4" x14ac:dyDescent="0.3"/>
    <row r="363" ht="14.4" x14ac:dyDescent="0.3"/>
    <row r="364" ht="14.4" x14ac:dyDescent="0.3"/>
    <row r="365" ht="14.4" x14ac:dyDescent="0.3"/>
    <row r="366" ht="14.4" x14ac:dyDescent="0.3"/>
    <row r="367" ht="14.4" x14ac:dyDescent="0.3"/>
    <row r="368" ht="14.4" x14ac:dyDescent="0.3"/>
    <row r="369" ht="14.4" x14ac:dyDescent="0.3"/>
    <row r="370" ht="14.4" x14ac:dyDescent="0.3"/>
    <row r="371" ht="14.4" x14ac:dyDescent="0.3"/>
    <row r="372" ht="14.4" x14ac:dyDescent="0.3"/>
    <row r="373" ht="14.4" x14ac:dyDescent="0.3"/>
    <row r="374" ht="14.4" x14ac:dyDescent="0.3"/>
    <row r="375" ht="14.4" x14ac:dyDescent="0.3"/>
    <row r="376" ht="14.4" x14ac:dyDescent="0.3"/>
    <row r="377" ht="14.4" x14ac:dyDescent="0.3"/>
    <row r="378" ht="14.4" x14ac:dyDescent="0.3"/>
    <row r="379" ht="14.4" x14ac:dyDescent="0.3"/>
    <row r="380" ht="14.4" x14ac:dyDescent="0.3"/>
    <row r="381" ht="14.4" x14ac:dyDescent="0.3"/>
    <row r="382" ht="14.4" x14ac:dyDescent="0.3"/>
    <row r="383" ht="14.4" x14ac:dyDescent="0.3"/>
    <row r="384" ht="14.4" x14ac:dyDescent="0.3"/>
    <row r="385" ht="14.4" x14ac:dyDescent="0.3"/>
    <row r="386" ht="14.4" x14ac:dyDescent="0.3"/>
    <row r="387" ht="14.4" x14ac:dyDescent="0.3"/>
    <row r="388" ht="14.4" x14ac:dyDescent="0.3"/>
    <row r="389" ht="14.4" x14ac:dyDescent="0.3"/>
    <row r="390" ht="14.4" x14ac:dyDescent="0.3"/>
    <row r="391" ht="14.4" x14ac:dyDescent="0.3"/>
    <row r="392" ht="14.4" x14ac:dyDescent="0.3"/>
    <row r="393" ht="14.4" x14ac:dyDescent="0.3"/>
    <row r="394" ht="14.4" x14ac:dyDescent="0.3"/>
    <row r="395" ht="14.4" x14ac:dyDescent="0.3"/>
    <row r="396" ht="14.4" x14ac:dyDescent="0.3"/>
    <row r="397" ht="14.4" x14ac:dyDescent="0.3"/>
    <row r="398" ht="14.4" x14ac:dyDescent="0.3"/>
    <row r="399" ht="14.4" x14ac:dyDescent="0.3"/>
    <row r="400" ht="14.4" x14ac:dyDescent="0.3"/>
    <row r="401" ht="14.4" x14ac:dyDescent="0.3"/>
    <row r="402" ht="14.4" x14ac:dyDescent="0.3"/>
    <row r="403" ht="14.4" x14ac:dyDescent="0.3"/>
    <row r="404" ht="14.4" x14ac:dyDescent="0.3"/>
    <row r="405" ht="14.4" x14ac:dyDescent="0.3"/>
    <row r="406" ht="14.4" x14ac:dyDescent="0.3"/>
    <row r="407" ht="14.4" x14ac:dyDescent="0.3"/>
    <row r="408" ht="14.4" x14ac:dyDescent="0.3"/>
    <row r="409" ht="14.4" x14ac:dyDescent="0.3"/>
    <row r="410" ht="14.4" x14ac:dyDescent="0.3"/>
    <row r="411" ht="14.4" x14ac:dyDescent="0.3"/>
    <row r="412" ht="14.4" x14ac:dyDescent="0.3"/>
    <row r="413" ht="14.4" x14ac:dyDescent="0.3"/>
    <row r="414" ht="14.4" x14ac:dyDescent="0.3"/>
    <row r="415" ht="14.4" x14ac:dyDescent="0.3"/>
    <row r="416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4" x14ac:dyDescent="0.3"/>
    <row r="430" ht="14.4" x14ac:dyDescent="0.3"/>
    <row r="431" ht="14.4" x14ac:dyDescent="0.3"/>
    <row r="432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  <row r="441" ht="14.4" x14ac:dyDescent="0.3"/>
    <row r="442" ht="14.4" x14ac:dyDescent="0.3"/>
    <row r="443" ht="14.4" x14ac:dyDescent="0.3"/>
    <row r="444" ht="14.4" x14ac:dyDescent="0.3"/>
    <row r="445" ht="14.4" x14ac:dyDescent="0.3"/>
    <row r="446" ht="14.4" x14ac:dyDescent="0.3"/>
    <row r="447" ht="14.4" x14ac:dyDescent="0.3"/>
    <row r="448" ht="14.4" x14ac:dyDescent="0.3"/>
    <row r="449" ht="14.4" x14ac:dyDescent="0.3"/>
    <row r="450" ht="14.4" x14ac:dyDescent="0.3"/>
    <row r="451" ht="14.4" x14ac:dyDescent="0.3"/>
    <row r="452" ht="14.4" x14ac:dyDescent="0.3"/>
    <row r="453" ht="14.4" x14ac:dyDescent="0.3"/>
    <row r="454" ht="14.4" x14ac:dyDescent="0.3"/>
    <row r="455" ht="14.4" x14ac:dyDescent="0.3"/>
    <row r="456" ht="14.4" x14ac:dyDescent="0.3"/>
    <row r="457" ht="14.4" x14ac:dyDescent="0.3"/>
    <row r="458" ht="14.4" x14ac:dyDescent="0.3"/>
    <row r="459" ht="14.4" x14ac:dyDescent="0.3"/>
    <row r="460" ht="14.4" x14ac:dyDescent="0.3"/>
    <row r="461" ht="14.4" x14ac:dyDescent="0.3"/>
    <row r="462" ht="14.4" x14ac:dyDescent="0.3"/>
    <row r="463" ht="14.4" x14ac:dyDescent="0.3"/>
    <row r="464" ht="14.4" x14ac:dyDescent="0.3"/>
    <row r="465" ht="14.4" x14ac:dyDescent="0.3"/>
    <row r="466" ht="14.4" x14ac:dyDescent="0.3"/>
    <row r="467" ht="14.4" x14ac:dyDescent="0.3"/>
    <row r="468" ht="14.4" x14ac:dyDescent="0.3"/>
    <row r="469" ht="14.4" x14ac:dyDescent="0.3"/>
    <row r="470" ht="14.4" x14ac:dyDescent="0.3"/>
    <row r="471" ht="14.4" x14ac:dyDescent="0.3"/>
    <row r="472" ht="14.4" x14ac:dyDescent="0.3"/>
    <row r="473" ht="14.4" x14ac:dyDescent="0.3"/>
    <row r="474" ht="14.4" x14ac:dyDescent="0.3"/>
    <row r="475" ht="14.4" x14ac:dyDescent="0.3"/>
    <row r="476" ht="14.4" x14ac:dyDescent="0.3"/>
    <row r="477" ht="14.4" x14ac:dyDescent="0.3"/>
    <row r="478" ht="14.4" x14ac:dyDescent="0.3"/>
    <row r="479" ht="14.4" x14ac:dyDescent="0.3"/>
    <row r="480" ht="14.4" x14ac:dyDescent="0.3"/>
    <row r="481" ht="14.4" x14ac:dyDescent="0.3"/>
    <row r="482" ht="14.4" x14ac:dyDescent="0.3"/>
    <row r="483" ht="14.4" x14ac:dyDescent="0.3"/>
    <row r="484" ht="14.4" x14ac:dyDescent="0.3"/>
    <row r="485" ht="14.4" x14ac:dyDescent="0.3"/>
    <row r="486" ht="14.4" x14ac:dyDescent="0.3"/>
    <row r="487" ht="14.4" x14ac:dyDescent="0.3"/>
    <row r="488" ht="14.4" x14ac:dyDescent="0.3"/>
    <row r="489" ht="14.4" x14ac:dyDescent="0.3"/>
    <row r="490" ht="14.4" x14ac:dyDescent="0.3"/>
    <row r="491" ht="14.4" x14ac:dyDescent="0.3"/>
    <row r="492" ht="14.4" x14ac:dyDescent="0.3"/>
    <row r="493" ht="14.4" x14ac:dyDescent="0.3"/>
    <row r="494" ht="14.4" x14ac:dyDescent="0.3"/>
    <row r="495" ht="14.4" x14ac:dyDescent="0.3"/>
    <row r="496" ht="14.4" x14ac:dyDescent="0.3"/>
    <row r="497" ht="14.4" x14ac:dyDescent="0.3"/>
    <row r="498" ht="14.4" x14ac:dyDescent="0.3"/>
    <row r="499" ht="14.4" x14ac:dyDescent="0.3"/>
    <row r="500" ht="14.4" x14ac:dyDescent="0.3"/>
    <row r="501" ht="14.4" x14ac:dyDescent="0.3"/>
    <row r="502" ht="14.4" x14ac:dyDescent="0.3"/>
    <row r="503" ht="14.4" x14ac:dyDescent="0.3"/>
    <row r="504" ht="14.4" x14ac:dyDescent="0.3"/>
    <row r="505" ht="14.4" x14ac:dyDescent="0.3"/>
    <row r="506" ht="14.4" x14ac:dyDescent="0.3"/>
    <row r="507" ht="14.4" x14ac:dyDescent="0.3"/>
    <row r="508" ht="14.4" x14ac:dyDescent="0.3"/>
    <row r="509" ht="14.4" x14ac:dyDescent="0.3"/>
    <row r="510" ht="14.4" x14ac:dyDescent="0.3"/>
    <row r="511" ht="14.4" x14ac:dyDescent="0.3"/>
    <row r="512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  <row r="556" ht="14.4" x14ac:dyDescent="0.3"/>
    <row r="557" ht="14.4" x14ac:dyDescent="0.3"/>
    <row r="558" ht="14.4" x14ac:dyDescent="0.3"/>
    <row r="559" ht="14.4" x14ac:dyDescent="0.3"/>
    <row r="560" ht="14.4" x14ac:dyDescent="0.3"/>
    <row r="561" ht="14.4" x14ac:dyDescent="0.3"/>
    <row r="562" ht="14.4" x14ac:dyDescent="0.3"/>
    <row r="563" ht="14.4" x14ac:dyDescent="0.3"/>
    <row r="564" ht="14.4" x14ac:dyDescent="0.3"/>
    <row r="565" ht="14.4" x14ac:dyDescent="0.3"/>
    <row r="566" ht="14.4" x14ac:dyDescent="0.3"/>
    <row r="567" ht="14.4" x14ac:dyDescent="0.3"/>
    <row r="568" ht="14.4" x14ac:dyDescent="0.3"/>
    <row r="569" ht="14.4" x14ac:dyDescent="0.3"/>
    <row r="570" ht="14.4" x14ac:dyDescent="0.3"/>
    <row r="571" ht="14.4" x14ac:dyDescent="0.3"/>
    <row r="572" ht="14.4" x14ac:dyDescent="0.3"/>
    <row r="573" ht="14.4" x14ac:dyDescent="0.3"/>
    <row r="574" ht="14.4" x14ac:dyDescent="0.3"/>
    <row r="575" ht="14.4" x14ac:dyDescent="0.3"/>
    <row r="576" ht="14.4" x14ac:dyDescent="0.3"/>
    <row r="577" ht="14.4" x14ac:dyDescent="0.3"/>
    <row r="578" ht="14.4" x14ac:dyDescent="0.3"/>
    <row r="579" ht="14.4" x14ac:dyDescent="0.3"/>
    <row r="580" ht="14.4" x14ac:dyDescent="0.3"/>
    <row r="581" ht="14.4" x14ac:dyDescent="0.3"/>
    <row r="582" ht="14.4" x14ac:dyDescent="0.3"/>
    <row r="583" ht="14.4" x14ac:dyDescent="0.3"/>
    <row r="584" ht="14.4" x14ac:dyDescent="0.3"/>
    <row r="585" ht="14.4" x14ac:dyDescent="0.3"/>
    <row r="586" ht="14.4" x14ac:dyDescent="0.3"/>
    <row r="587" ht="14.4" x14ac:dyDescent="0.3"/>
    <row r="588" ht="14.4" x14ac:dyDescent="0.3"/>
    <row r="589" ht="14.4" x14ac:dyDescent="0.3"/>
    <row r="590" ht="14.4" x14ac:dyDescent="0.3"/>
    <row r="591" ht="14.4" x14ac:dyDescent="0.3"/>
    <row r="592" ht="14.4" x14ac:dyDescent="0.3"/>
    <row r="593" ht="14.4" x14ac:dyDescent="0.3"/>
    <row r="594" ht="14.4" x14ac:dyDescent="0.3"/>
    <row r="595" ht="14.4" x14ac:dyDescent="0.3"/>
    <row r="596" ht="14.4" x14ac:dyDescent="0.3"/>
    <row r="597" ht="14.4" x14ac:dyDescent="0.3"/>
    <row r="598" ht="14.4" x14ac:dyDescent="0.3"/>
    <row r="599" ht="14.4" x14ac:dyDescent="0.3"/>
    <row r="600" ht="14.4" x14ac:dyDescent="0.3"/>
    <row r="601" ht="14.4" x14ac:dyDescent="0.3"/>
    <row r="602" ht="14.4" x14ac:dyDescent="0.3"/>
    <row r="603" ht="14.4" x14ac:dyDescent="0.3"/>
    <row r="604" ht="14.4" x14ac:dyDescent="0.3"/>
    <row r="605" ht="14.4" x14ac:dyDescent="0.3"/>
    <row r="606" ht="14.4" x14ac:dyDescent="0.3"/>
    <row r="607" ht="14.4" x14ac:dyDescent="0.3"/>
    <row r="608" ht="14.4" x14ac:dyDescent="0.3"/>
    <row r="609" ht="14.4" x14ac:dyDescent="0.3"/>
    <row r="610" ht="14.4" x14ac:dyDescent="0.3"/>
    <row r="611" ht="14.4" x14ac:dyDescent="0.3"/>
    <row r="612" ht="14.4" x14ac:dyDescent="0.3"/>
    <row r="613" ht="14.4" x14ac:dyDescent="0.3"/>
    <row r="614" ht="14.4" x14ac:dyDescent="0.3"/>
    <row r="615" ht="14.4" x14ac:dyDescent="0.3"/>
    <row r="616" ht="14.4" x14ac:dyDescent="0.3"/>
    <row r="617" ht="14.4" x14ac:dyDescent="0.3"/>
    <row r="618" ht="14.4" x14ac:dyDescent="0.3"/>
    <row r="619" ht="14.4" x14ac:dyDescent="0.3"/>
    <row r="620" ht="14.4" x14ac:dyDescent="0.3"/>
    <row r="621" ht="14.4" x14ac:dyDescent="0.3"/>
    <row r="622" ht="14.4" x14ac:dyDescent="0.3"/>
    <row r="623" ht="14.4" x14ac:dyDescent="0.3"/>
    <row r="624" ht="14.4" x14ac:dyDescent="0.3"/>
    <row r="625" ht="14.4" x14ac:dyDescent="0.3"/>
    <row r="626" ht="14.4" x14ac:dyDescent="0.3"/>
    <row r="627" ht="14.4" x14ac:dyDescent="0.3"/>
    <row r="628" ht="14.4" x14ac:dyDescent="0.3"/>
    <row r="629" ht="14.4" x14ac:dyDescent="0.3"/>
    <row r="630" ht="14.4" x14ac:dyDescent="0.3"/>
    <row r="631" ht="14.4" x14ac:dyDescent="0.3"/>
    <row r="632" ht="14.4" x14ac:dyDescent="0.3"/>
    <row r="633" ht="14.4" x14ac:dyDescent="0.3"/>
    <row r="634" ht="14.4" x14ac:dyDescent="0.3"/>
    <row r="635" ht="14.4" x14ac:dyDescent="0.3"/>
    <row r="636" ht="14.4" x14ac:dyDescent="0.3"/>
    <row r="637" ht="14.4" x14ac:dyDescent="0.3"/>
    <row r="638" ht="14.4" x14ac:dyDescent="0.3"/>
    <row r="639" ht="14.4" x14ac:dyDescent="0.3"/>
    <row r="640" ht="14.4" x14ac:dyDescent="0.3"/>
    <row r="641" ht="14.4" x14ac:dyDescent="0.3"/>
    <row r="642" ht="14.4" x14ac:dyDescent="0.3"/>
    <row r="643" ht="14.4" x14ac:dyDescent="0.3"/>
    <row r="644" ht="14.4" x14ac:dyDescent="0.3"/>
    <row r="645" ht="14.4" x14ac:dyDescent="0.3"/>
    <row r="646" ht="14.4" x14ac:dyDescent="0.3"/>
    <row r="647" ht="14.4" x14ac:dyDescent="0.3"/>
    <row r="648" ht="14.4" x14ac:dyDescent="0.3"/>
    <row r="649" ht="14.4" x14ac:dyDescent="0.3"/>
    <row r="650" ht="14.4" x14ac:dyDescent="0.3"/>
    <row r="651" ht="14.4" x14ac:dyDescent="0.3"/>
    <row r="652" ht="14.4" x14ac:dyDescent="0.3"/>
    <row r="653" ht="14.4" x14ac:dyDescent="0.3"/>
    <row r="654" ht="14.4" x14ac:dyDescent="0.3"/>
    <row r="655" ht="14.4" x14ac:dyDescent="0.3"/>
    <row r="656" ht="14.4" x14ac:dyDescent="0.3"/>
    <row r="657" ht="14.4" x14ac:dyDescent="0.3"/>
    <row r="658" ht="14.4" x14ac:dyDescent="0.3"/>
    <row r="659" ht="14.4" x14ac:dyDescent="0.3"/>
    <row r="660" ht="14.4" x14ac:dyDescent="0.3"/>
    <row r="661" ht="14.4" x14ac:dyDescent="0.3"/>
    <row r="662" ht="14.4" x14ac:dyDescent="0.3"/>
    <row r="663" ht="14.4" x14ac:dyDescent="0.3"/>
    <row r="664" ht="14.4" x14ac:dyDescent="0.3"/>
    <row r="665" ht="14.4" x14ac:dyDescent="0.3"/>
    <row r="666" ht="14.4" x14ac:dyDescent="0.3"/>
    <row r="667" ht="14.4" x14ac:dyDescent="0.3"/>
    <row r="668" ht="14.4" x14ac:dyDescent="0.3"/>
    <row r="669" ht="14.4" x14ac:dyDescent="0.3"/>
    <row r="670" ht="14.4" x14ac:dyDescent="0.3"/>
    <row r="671" ht="14.4" x14ac:dyDescent="0.3"/>
    <row r="672" ht="14.4" x14ac:dyDescent="0.3"/>
    <row r="673" ht="14.4" x14ac:dyDescent="0.3"/>
    <row r="674" ht="14.4" x14ac:dyDescent="0.3"/>
    <row r="675" ht="14.4" x14ac:dyDescent="0.3"/>
    <row r="676" ht="14.4" x14ac:dyDescent="0.3"/>
    <row r="677" ht="14.4" x14ac:dyDescent="0.3"/>
    <row r="678" ht="14.4" x14ac:dyDescent="0.3"/>
    <row r="679" ht="14.4" x14ac:dyDescent="0.3"/>
    <row r="680" ht="14.4" x14ac:dyDescent="0.3"/>
    <row r="681" ht="14.4" x14ac:dyDescent="0.3"/>
    <row r="682" ht="14.4" x14ac:dyDescent="0.3"/>
    <row r="683" ht="14.4" x14ac:dyDescent="0.3"/>
    <row r="684" ht="14.4" x14ac:dyDescent="0.3"/>
    <row r="685" ht="14.4" x14ac:dyDescent="0.3"/>
    <row r="686" ht="14.4" x14ac:dyDescent="0.3"/>
    <row r="687" ht="14.4" x14ac:dyDescent="0.3"/>
    <row r="688" ht="14.4" x14ac:dyDescent="0.3"/>
    <row r="689" ht="14.4" x14ac:dyDescent="0.3"/>
    <row r="690" ht="14.4" x14ac:dyDescent="0.3"/>
    <row r="691" ht="14.4" x14ac:dyDescent="0.3"/>
    <row r="692" ht="14.4" x14ac:dyDescent="0.3"/>
    <row r="693" ht="14.4" x14ac:dyDescent="0.3"/>
    <row r="694" ht="14.4" x14ac:dyDescent="0.3"/>
    <row r="695" ht="14.4" x14ac:dyDescent="0.3"/>
    <row r="696" ht="14.4" x14ac:dyDescent="0.3"/>
    <row r="697" ht="14.4" x14ac:dyDescent="0.3"/>
    <row r="698" ht="14.4" x14ac:dyDescent="0.3"/>
    <row r="699" ht="14.4" x14ac:dyDescent="0.3"/>
    <row r="700" ht="14.4" x14ac:dyDescent="0.3"/>
    <row r="701" ht="14.4" x14ac:dyDescent="0.3"/>
    <row r="702" ht="14.4" x14ac:dyDescent="0.3"/>
    <row r="703" ht="14.4" x14ac:dyDescent="0.3"/>
    <row r="704" ht="14.4" x14ac:dyDescent="0.3"/>
    <row r="705" ht="14.4" x14ac:dyDescent="0.3"/>
    <row r="706" ht="14.4" x14ac:dyDescent="0.3"/>
    <row r="707" ht="14.4" x14ac:dyDescent="0.3"/>
    <row r="708" ht="14.4" x14ac:dyDescent="0.3"/>
    <row r="709" ht="14.4" x14ac:dyDescent="0.3"/>
    <row r="710" ht="14.4" x14ac:dyDescent="0.3"/>
    <row r="711" ht="14.4" x14ac:dyDescent="0.3"/>
    <row r="712" ht="14.4" x14ac:dyDescent="0.3"/>
    <row r="713" ht="14.4" x14ac:dyDescent="0.3"/>
    <row r="714" ht="14.4" x14ac:dyDescent="0.3"/>
    <row r="715" ht="14.4" x14ac:dyDescent="0.3"/>
    <row r="716" ht="14.4" x14ac:dyDescent="0.3"/>
    <row r="717" ht="14.4" x14ac:dyDescent="0.3"/>
    <row r="718" ht="14.4" x14ac:dyDescent="0.3"/>
    <row r="719" ht="14.4" x14ac:dyDescent="0.3"/>
    <row r="720" ht="14.4" x14ac:dyDescent="0.3"/>
    <row r="721" ht="14.4" x14ac:dyDescent="0.3"/>
    <row r="722" ht="14.4" x14ac:dyDescent="0.3"/>
    <row r="723" ht="14.4" x14ac:dyDescent="0.3"/>
    <row r="724" ht="14.4" x14ac:dyDescent="0.3"/>
    <row r="725" ht="14.4" x14ac:dyDescent="0.3"/>
    <row r="726" ht="14.4" x14ac:dyDescent="0.3"/>
    <row r="727" ht="14.4" x14ac:dyDescent="0.3"/>
    <row r="728" ht="14.4" x14ac:dyDescent="0.3"/>
    <row r="729" ht="14.4" x14ac:dyDescent="0.3"/>
    <row r="730" ht="14.4" x14ac:dyDescent="0.3"/>
    <row r="731" ht="14.4" x14ac:dyDescent="0.3"/>
    <row r="732" ht="14.4" x14ac:dyDescent="0.3"/>
    <row r="733" ht="14.4" x14ac:dyDescent="0.3"/>
    <row r="734" ht="14.4" x14ac:dyDescent="0.3"/>
    <row r="735" ht="14.4" x14ac:dyDescent="0.3"/>
    <row r="736" ht="14.4" x14ac:dyDescent="0.3"/>
    <row r="737" ht="14.4" x14ac:dyDescent="0.3"/>
    <row r="738" ht="14.4" x14ac:dyDescent="0.3"/>
    <row r="739" ht="14.4" x14ac:dyDescent="0.3"/>
    <row r="740" ht="14.4" x14ac:dyDescent="0.3"/>
    <row r="741" ht="14.4" x14ac:dyDescent="0.3"/>
    <row r="742" ht="14.4" x14ac:dyDescent="0.3"/>
    <row r="743" ht="14.4" x14ac:dyDescent="0.3"/>
    <row r="744" ht="14.4" x14ac:dyDescent="0.3"/>
    <row r="745" ht="14.4" x14ac:dyDescent="0.3"/>
    <row r="746" ht="14.4" x14ac:dyDescent="0.3"/>
    <row r="747" ht="14.4" x14ac:dyDescent="0.3"/>
    <row r="748" ht="14.4" x14ac:dyDescent="0.3"/>
    <row r="749" ht="14.4" x14ac:dyDescent="0.3"/>
    <row r="750" ht="14.4" x14ac:dyDescent="0.3"/>
    <row r="751" ht="14.4" x14ac:dyDescent="0.3"/>
    <row r="752" ht="14.4" x14ac:dyDescent="0.3"/>
    <row r="753" ht="14.4" x14ac:dyDescent="0.3"/>
    <row r="754" ht="14.4" x14ac:dyDescent="0.3"/>
    <row r="755" ht="14.4" x14ac:dyDescent="0.3"/>
    <row r="756" ht="14.4" x14ac:dyDescent="0.3"/>
    <row r="757" ht="14.4" x14ac:dyDescent="0.3"/>
    <row r="758" ht="14.4" x14ac:dyDescent="0.3"/>
    <row r="759" ht="14.4" x14ac:dyDescent="0.3"/>
    <row r="760" ht="14.4" x14ac:dyDescent="0.3"/>
    <row r="761" ht="14.4" x14ac:dyDescent="0.3"/>
    <row r="762" ht="14.4" x14ac:dyDescent="0.3"/>
    <row r="763" ht="14.4" x14ac:dyDescent="0.3"/>
    <row r="764" ht="14.4" x14ac:dyDescent="0.3"/>
    <row r="765" ht="14.4" x14ac:dyDescent="0.3"/>
    <row r="766" ht="14.4" x14ac:dyDescent="0.3"/>
    <row r="767" ht="14.4" x14ac:dyDescent="0.3"/>
    <row r="768" ht="14.4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  <row r="779" ht="14.4" x14ac:dyDescent="0.3"/>
    <row r="780" ht="14.4" x14ac:dyDescent="0.3"/>
    <row r="781" ht="14.4" x14ac:dyDescent="0.3"/>
    <row r="782" ht="14.4" x14ac:dyDescent="0.3"/>
    <row r="783" ht="14.4" x14ac:dyDescent="0.3"/>
    <row r="784" ht="14.4" x14ac:dyDescent="0.3"/>
    <row r="785" ht="14.4" x14ac:dyDescent="0.3"/>
    <row r="786" ht="14.4" x14ac:dyDescent="0.3"/>
    <row r="787" ht="14.4" x14ac:dyDescent="0.3"/>
    <row r="788" ht="14.4" x14ac:dyDescent="0.3"/>
    <row r="789" ht="14.4" x14ac:dyDescent="0.3"/>
    <row r="790" ht="14.4" x14ac:dyDescent="0.3"/>
    <row r="791" ht="14.4" x14ac:dyDescent="0.3"/>
    <row r="792" ht="14.4" x14ac:dyDescent="0.3"/>
    <row r="793" ht="14.4" x14ac:dyDescent="0.3"/>
    <row r="794" ht="14.4" x14ac:dyDescent="0.3"/>
    <row r="795" ht="14.4" x14ac:dyDescent="0.3"/>
    <row r="796" ht="14.4" x14ac:dyDescent="0.3"/>
    <row r="797" ht="14.4" x14ac:dyDescent="0.3"/>
    <row r="798" ht="14.4" x14ac:dyDescent="0.3"/>
    <row r="799" ht="14.4" x14ac:dyDescent="0.3"/>
    <row r="800" ht="14.4" x14ac:dyDescent="0.3"/>
    <row r="801" ht="14.4" x14ac:dyDescent="0.3"/>
    <row r="802" ht="14.4" x14ac:dyDescent="0.3"/>
    <row r="803" ht="14.4" x14ac:dyDescent="0.3"/>
    <row r="804" ht="14.4" x14ac:dyDescent="0.3"/>
    <row r="805" ht="14.4" x14ac:dyDescent="0.3"/>
    <row r="806" ht="14.4" x14ac:dyDescent="0.3"/>
    <row r="807" ht="14.4" x14ac:dyDescent="0.3"/>
    <row r="808" ht="14.4" x14ac:dyDescent="0.3"/>
    <row r="809" ht="14.4" x14ac:dyDescent="0.3"/>
    <row r="810" ht="14.4" x14ac:dyDescent="0.3"/>
    <row r="811" ht="14.4" x14ac:dyDescent="0.3"/>
    <row r="812" ht="14.4" x14ac:dyDescent="0.3"/>
    <row r="813" ht="14.4" x14ac:dyDescent="0.3"/>
    <row r="814" ht="14.4" x14ac:dyDescent="0.3"/>
    <row r="815" ht="14.4" x14ac:dyDescent="0.3"/>
    <row r="816" ht="14.4" x14ac:dyDescent="0.3"/>
    <row r="817" ht="14.4" x14ac:dyDescent="0.3"/>
    <row r="818" ht="14.4" x14ac:dyDescent="0.3"/>
    <row r="819" ht="14.4" x14ac:dyDescent="0.3"/>
    <row r="820" ht="14.4" x14ac:dyDescent="0.3"/>
    <row r="821" ht="14.4" x14ac:dyDescent="0.3"/>
    <row r="822" ht="14.4" x14ac:dyDescent="0.3"/>
    <row r="823" ht="14.4" x14ac:dyDescent="0.3"/>
    <row r="824" ht="14.4" x14ac:dyDescent="0.3"/>
    <row r="825" ht="14.4" x14ac:dyDescent="0.3"/>
    <row r="826" ht="14.4" x14ac:dyDescent="0.3"/>
    <row r="827" ht="14.4" x14ac:dyDescent="0.3"/>
    <row r="828" ht="14.4" x14ac:dyDescent="0.3"/>
    <row r="829" ht="14.4" x14ac:dyDescent="0.3"/>
    <row r="830" ht="14.4" x14ac:dyDescent="0.3"/>
    <row r="831" ht="14.4" x14ac:dyDescent="0.3"/>
    <row r="832" ht="14.4" x14ac:dyDescent="0.3"/>
    <row r="833" ht="14.4" x14ac:dyDescent="0.3"/>
    <row r="834" ht="14.4" x14ac:dyDescent="0.3"/>
    <row r="835" ht="14.4" x14ac:dyDescent="0.3"/>
    <row r="836" ht="14.4" x14ac:dyDescent="0.3"/>
    <row r="837" ht="14.4" x14ac:dyDescent="0.3"/>
    <row r="838" ht="14.4" x14ac:dyDescent="0.3"/>
    <row r="839" ht="14.4" x14ac:dyDescent="0.3"/>
    <row r="840" ht="14.4" x14ac:dyDescent="0.3"/>
    <row r="841" ht="14.4" x14ac:dyDescent="0.3"/>
    <row r="842" ht="14.4" x14ac:dyDescent="0.3"/>
    <row r="843" ht="14.4" x14ac:dyDescent="0.3"/>
    <row r="844" ht="14.4" x14ac:dyDescent="0.3"/>
    <row r="845" ht="14.4" x14ac:dyDescent="0.3"/>
    <row r="846" ht="14.4" x14ac:dyDescent="0.3"/>
    <row r="847" ht="14.4" x14ac:dyDescent="0.3"/>
    <row r="848" ht="14.4" x14ac:dyDescent="0.3"/>
    <row r="849" ht="14.4" x14ac:dyDescent="0.3"/>
    <row r="850" ht="14.4" x14ac:dyDescent="0.3"/>
    <row r="851" ht="14.4" x14ac:dyDescent="0.3"/>
    <row r="852" ht="14.4" x14ac:dyDescent="0.3"/>
    <row r="853" ht="14.4" x14ac:dyDescent="0.3"/>
    <row r="854" ht="14.4" x14ac:dyDescent="0.3"/>
    <row r="855" ht="14.4" x14ac:dyDescent="0.3"/>
    <row r="856" ht="14.4" x14ac:dyDescent="0.3"/>
    <row r="857" ht="14.4" x14ac:dyDescent="0.3"/>
    <row r="858" ht="14.4" x14ac:dyDescent="0.3"/>
    <row r="859" ht="14.4" x14ac:dyDescent="0.3"/>
    <row r="860" ht="14.4" x14ac:dyDescent="0.3"/>
    <row r="861" ht="14.4" x14ac:dyDescent="0.3"/>
    <row r="862" ht="14.4" x14ac:dyDescent="0.3"/>
    <row r="863" ht="14.4" x14ac:dyDescent="0.3"/>
    <row r="864" ht="14.4" x14ac:dyDescent="0.3"/>
    <row r="865" ht="14.4" x14ac:dyDescent="0.3"/>
    <row r="866" ht="14.4" x14ac:dyDescent="0.3"/>
    <row r="867" ht="14.4" x14ac:dyDescent="0.3"/>
    <row r="868" ht="14.4" x14ac:dyDescent="0.3"/>
    <row r="869" ht="14.4" x14ac:dyDescent="0.3"/>
    <row r="870" ht="14.4" x14ac:dyDescent="0.3"/>
    <row r="871" ht="14.4" x14ac:dyDescent="0.3"/>
    <row r="872" ht="14.4" x14ac:dyDescent="0.3"/>
    <row r="873" ht="14.4" x14ac:dyDescent="0.3"/>
    <row r="874" ht="14.4" x14ac:dyDescent="0.3"/>
    <row r="875" ht="14.4" x14ac:dyDescent="0.3"/>
    <row r="876" ht="14.4" x14ac:dyDescent="0.3"/>
    <row r="877" ht="14.4" x14ac:dyDescent="0.3"/>
    <row r="878" ht="14.4" x14ac:dyDescent="0.3"/>
    <row r="879" ht="14.4" x14ac:dyDescent="0.3"/>
    <row r="880" ht="14.4" x14ac:dyDescent="0.3"/>
    <row r="881" ht="14.4" x14ac:dyDescent="0.3"/>
    <row r="882" ht="14.4" x14ac:dyDescent="0.3"/>
    <row r="883" ht="14.4" x14ac:dyDescent="0.3"/>
    <row r="884" ht="14.4" x14ac:dyDescent="0.3"/>
    <row r="885" ht="14.4" x14ac:dyDescent="0.3"/>
    <row r="886" ht="14.4" x14ac:dyDescent="0.3"/>
    <row r="887" ht="14.4" x14ac:dyDescent="0.3"/>
    <row r="888" ht="14.4" x14ac:dyDescent="0.3"/>
    <row r="889" ht="14.4" x14ac:dyDescent="0.3"/>
    <row r="890" ht="14.4" x14ac:dyDescent="0.3"/>
    <row r="891" ht="14.4" x14ac:dyDescent="0.3"/>
    <row r="892" ht="14.4" x14ac:dyDescent="0.3"/>
    <row r="893" ht="14.4" x14ac:dyDescent="0.3"/>
    <row r="894" ht="14.4" x14ac:dyDescent="0.3"/>
    <row r="895" ht="14.4" x14ac:dyDescent="0.3"/>
    <row r="896" ht="14.4" x14ac:dyDescent="0.3"/>
    <row r="897" ht="14.4" x14ac:dyDescent="0.3"/>
    <row r="898" ht="14.4" x14ac:dyDescent="0.3"/>
    <row r="899" ht="14.4" x14ac:dyDescent="0.3"/>
    <row r="900" ht="14.4" x14ac:dyDescent="0.3"/>
    <row r="901" ht="14.4" x14ac:dyDescent="0.3"/>
    <row r="902" ht="14.4" x14ac:dyDescent="0.3"/>
    <row r="903" ht="14.4" x14ac:dyDescent="0.3"/>
    <row r="904" ht="14.4" x14ac:dyDescent="0.3"/>
    <row r="905" ht="14.4" x14ac:dyDescent="0.3"/>
    <row r="906" ht="14.4" x14ac:dyDescent="0.3"/>
    <row r="907" ht="14.4" x14ac:dyDescent="0.3"/>
    <row r="908" ht="14.4" x14ac:dyDescent="0.3"/>
    <row r="909" ht="14.4" x14ac:dyDescent="0.3"/>
    <row r="910" ht="14.4" x14ac:dyDescent="0.3"/>
    <row r="911" ht="14.4" x14ac:dyDescent="0.3"/>
    <row r="912" ht="14.4" x14ac:dyDescent="0.3"/>
    <row r="913" ht="14.4" x14ac:dyDescent="0.3"/>
    <row r="914" ht="14.4" x14ac:dyDescent="0.3"/>
    <row r="915" ht="14.4" x14ac:dyDescent="0.3"/>
    <row r="916" ht="14.4" x14ac:dyDescent="0.3"/>
    <row r="917" ht="14.4" x14ac:dyDescent="0.3"/>
    <row r="918" ht="14.4" x14ac:dyDescent="0.3"/>
    <row r="919" ht="14.4" x14ac:dyDescent="0.3"/>
    <row r="920" ht="14.4" x14ac:dyDescent="0.3"/>
    <row r="921" ht="14.4" x14ac:dyDescent="0.3"/>
    <row r="922" ht="14.4" x14ac:dyDescent="0.3"/>
    <row r="923" ht="14.4" x14ac:dyDescent="0.3"/>
    <row r="924" ht="14.4" x14ac:dyDescent="0.3"/>
    <row r="925" ht="14.4" x14ac:dyDescent="0.3"/>
    <row r="926" ht="14.4" x14ac:dyDescent="0.3"/>
    <row r="927" ht="14.4" x14ac:dyDescent="0.3"/>
    <row r="928" ht="14.4" x14ac:dyDescent="0.3"/>
    <row r="929" ht="14.4" x14ac:dyDescent="0.3"/>
    <row r="930" ht="14.4" x14ac:dyDescent="0.3"/>
    <row r="931" ht="14.4" x14ac:dyDescent="0.3"/>
    <row r="932" ht="14.4" x14ac:dyDescent="0.3"/>
    <row r="933" ht="14.4" x14ac:dyDescent="0.3"/>
    <row r="934" ht="14.4" x14ac:dyDescent="0.3"/>
    <row r="935" ht="14.4" x14ac:dyDescent="0.3"/>
    <row r="936" ht="14.4" x14ac:dyDescent="0.3"/>
    <row r="937" ht="14.4" x14ac:dyDescent="0.3"/>
    <row r="938" ht="14.4" x14ac:dyDescent="0.3"/>
    <row r="939" ht="14.4" x14ac:dyDescent="0.3"/>
    <row r="940" ht="14.4" x14ac:dyDescent="0.3"/>
    <row r="941" ht="14.4" x14ac:dyDescent="0.3"/>
    <row r="942" ht="14.4" x14ac:dyDescent="0.3"/>
    <row r="943" ht="14.4" x14ac:dyDescent="0.3"/>
    <row r="944" ht="14.4" x14ac:dyDescent="0.3"/>
    <row r="945" ht="14.4" x14ac:dyDescent="0.3"/>
    <row r="946" ht="14.4" x14ac:dyDescent="0.3"/>
    <row r="947" ht="14.4" x14ac:dyDescent="0.3"/>
    <row r="948" ht="14.4" x14ac:dyDescent="0.3"/>
    <row r="949" ht="14.4" x14ac:dyDescent="0.3"/>
    <row r="950" ht="14.4" x14ac:dyDescent="0.3"/>
    <row r="951" ht="14.4" x14ac:dyDescent="0.3"/>
    <row r="952" ht="14.4" x14ac:dyDescent="0.3"/>
    <row r="953" ht="14.4" x14ac:dyDescent="0.3"/>
    <row r="954" ht="14.4" x14ac:dyDescent="0.3"/>
    <row r="955" ht="14.4" x14ac:dyDescent="0.3"/>
    <row r="956" ht="14.4" x14ac:dyDescent="0.3"/>
    <row r="957" ht="14.4" x14ac:dyDescent="0.3"/>
    <row r="958" ht="14.4" x14ac:dyDescent="0.3"/>
    <row r="959" ht="14.4" x14ac:dyDescent="0.3"/>
    <row r="960" ht="14.4" x14ac:dyDescent="0.3"/>
    <row r="961" ht="14.4" x14ac:dyDescent="0.3"/>
    <row r="962" ht="14.4" x14ac:dyDescent="0.3"/>
    <row r="963" ht="14.4" x14ac:dyDescent="0.3"/>
    <row r="964" ht="14.4" x14ac:dyDescent="0.3"/>
    <row r="965" ht="14.4" x14ac:dyDescent="0.3"/>
    <row r="966" ht="14.4" x14ac:dyDescent="0.3"/>
    <row r="967" ht="14.4" x14ac:dyDescent="0.3"/>
    <row r="968" ht="14.4" x14ac:dyDescent="0.3"/>
    <row r="969" ht="14.4" x14ac:dyDescent="0.3"/>
    <row r="970" ht="14.4" x14ac:dyDescent="0.3"/>
    <row r="971" ht="14.4" x14ac:dyDescent="0.3"/>
    <row r="972" ht="14.4" x14ac:dyDescent="0.3"/>
    <row r="973" ht="14.4" x14ac:dyDescent="0.3"/>
    <row r="974" ht="14.4" x14ac:dyDescent="0.3"/>
    <row r="975" ht="14.4" x14ac:dyDescent="0.3"/>
    <row r="976" ht="14.4" x14ac:dyDescent="0.3"/>
    <row r="977" ht="14.4" x14ac:dyDescent="0.3"/>
    <row r="978" ht="14.4" x14ac:dyDescent="0.3"/>
    <row r="979" ht="14.4" x14ac:dyDescent="0.3"/>
    <row r="980" ht="14.4" x14ac:dyDescent="0.3"/>
    <row r="981" ht="14.4" x14ac:dyDescent="0.3"/>
    <row r="982" ht="14.4" x14ac:dyDescent="0.3"/>
    <row r="983" ht="14.4" x14ac:dyDescent="0.3"/>
    <row r="984" ht="14.4" x14ac:dyDescent="0.3"/>
    <row r="985" ht="14.4" x14ac:dyDescent="0.3"/>
    <row r="986" ht="14.4" x14ac:dyDescent="0.3"/>
    <row r="987" ht="14.4" x14ac:dyDescent="0.3"/>
    <row r="988" ht="14.4" x14ac:dyDescent="0.3"/>
    <row r="989" ht="14.4" x14ac:dyDescent="0.3"/>
    <row r="990" ht="14.4" x14ac:dyDescent="0.3"/>
    <row r="991" ht="14.4" x14ac:dyDescent="0.3"/>
    <row r="992" ht="14.4" x14ac:dyDescent="0.3"/>
    <row r="993" ht="14.4" x14ac:dyDescent="0.3"/>
    <row r="994" ht="14.4" x14ac:dyDescent="0.3"/>
    <row r="995" ht="14.4" x14ac:dyDescent="0.3"/>
    <row r="996" ht="14.4" x14ac:dyDescent="0.3"/>
    <row r="997" ht="14.4" x14ac:dyDescent="0.3"/>
    <row r="998" ht="14.4" x14ac:dyDescent="0.3"/>
    <row r="999" ht="14.4" x14ac:dyDescent="0.3"/>
    <row r="1000" ht="14.4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002"/>
  <sheetViews>
    <sheetView showGridLines="0" tabSelected="1" topLeftCell="A5" zoomScale="80" zoomScaleNormal="80" workbookViewId="0">
      <selection activeCell="F16" sqref="F16"/>
    </sheetView>
  </sheetViews>
  <sheetFormatPr defaultColWidth="14.44140625" defaultRowHeight="15" customHeight="1" x14ac:dyDescent="0.3"/>
  <cols>
    <col min="1" max="1" width="3.33203125" customWidth="1"/>
    <col min="2" max="9" width="26.77734375" customWidth="1"/>
    <col min="10" max="27" width="8.6640625" customWidth="1"/>
  </cols>
  <sheetData>
    <row r="2" spans="2:9" s="2" customFormat="1" ht="14.4" x14ac:dyDescent="0.3">
      <c r="B2" s="19" t="s">
        <v>7</v>
      </c>
      <c r="C2" s="19" t="s">
        <v>42</v>
      </c>
      <c r="D2" s="19" t="s">
        <v>43</v>
      </c>
      <c r="E2" s="19" t="s">
        <v>2</v>
      </c>
      <c r="F2" s="19" t="s">
        <v>75</v>
      </c>
      <c r="G2" s="19" t="s">
        <v>75</v>
      </c>
      <c r="H2" s="19" t="s">
        <v>75</v>
      </c>
      <c r="I2" s="19" t="s">
        <v>75</v>
      </c>
    </row>
    <row r="3" spans="2:9" ht="14.4" x14ac:dyDescent="0.3">
      <c r="B3" s="13" t="s">
        <v>13</v>
      </c>
      <c r="C3" s="20">
        <f>Expenses!$E$9</f>
        <v>5028000</v>
      </c>
      <c r="D3" s="20">
        <f>Expenses!$E$9</f>
        <v>5028000</v>
      </c>
      <c r="E3" s="11"/>
      <c r="F3" s="11"/>
      <c r="G3" s="11"/>
      <c r="H3" s="11"/>
      <c r="I3" s="11"/>
    </row>
    <row r="4" spans="2:9" ht="72" x14ac:dyDescent="0.3">
      <c r="B4" s="13" t="s">
        <v>14</v>
      </c>
      <c r="C4" s="20">
        <f>3%*Expenses!$E$9</f>
        <v>150840</v>
      </c>
      <c r="D4" s="20">
        <f>10%*Expenses!$E$9</f>
        <v>502800</v>
      </c>
      <c r="E4" s="13" t="s">
        <v>15</v>
      </c>
      <c r="F4" s="31" t="s">
        <v>76</v>
      </c>
      <c r="G4" s="31" t="s">
        <v>77</v>
      </c>
      <c r="H4" s="31"/>
      <c r="I4" s="31"/>
    </row>
    <row r="5" spans="2:9" ht="72" x14ac:dyDescent="0.3">
      <c r="B5" s="13" t="s">
        <v>16</v>
      </c>
      <c r="C5" s="20">
        <f>1%*Expenses!$E$9</f>
        <v>50280</v>
      </c>
      <c r="D5" s="20">
        <f>2%*Expenses!$E$9</f>
        <v>100560</v>
      </c>
      <c r="E5" s="13" t="s">
        <v>17</v>
      </c>
      <c r="F5" s="31" t="s">
        <v>78</v>
      </c>
      <c r="G5" s="31" t="s">
        <v>88</v>
      </c>
      <c r="H5" s="31"/>
      <c r="I5" s="31"/>
    </row>
    <row r="6" spans="2:9" ht="57.6" x14ac:dyDescent="0.3">
      <c r="B6" s="13" t="s">
        <v>18</v>
      </c>
      <c r="C6" s="20">
        <f>0.5%*Expenses!$E$9</f>
        <v>25140</v>
      </c>
      <c r="D6" s="20">
        <f>1%*Expenses!$E$9</f>
        <v>50280</v>
      </c>
      <c r="E6" s="13" t="s">
        <v>19</v>
      </c>
      <c r="F6" s="31" t="s">
        <v>78</v>
      </c>
      <c r="G6" s="31" t="s">
        <v>79</v>
      </c>
      <c r="H6" s="31" t="s">
        <v>80</v>
      </c>
      <c r="I6" s="31"/>
    </row>
    <row r="7" spans="2:9" ht="43.2" x14ac:dyDescent="0.3">
      <c r="B7" s="13" t="s">
        <v>20</v>
      </c>
      <c r="C7" s="20">
        <f>0.5%*Expenses!$E$9</f>
        <v>25140</v>
      </c>
      <c r="D7" s="20">
        <f>1%*Expenses!$E$9</f>
        <v>50280</v>
      </c>
      <c r="E7" s="13" t="s">
        <v>19</v>
      </c>
      <c r="F7" s="31" t="s">
        <v>77</v>
      </c>
      <c r="G7" s="31" t="s">
        <v>87</v>
      </c>
      <c r="H7" s="31"/>
      <c r="I7" s="31"/>
    </row>
    <row r="8" spans="2:9" ht="72" x14ac:dyDescent="0.3">
      <c r="B8" s="13" t="s">
        <v>21</v>
      </c>
      <c r="C8" s="20">
        <f>8%*Expenses!$E$9</f>
        <v>402240</v>
      </c>
      <c r="D8" s="20">
        <f>12%*Expenses!$E$9</f>
        <v>603360</v>
      </c>
      <c r="E8" s="13" t="s">
        <v>22</v>
      </c>
      <c r="F8" s="31" t="s">
        <v>81</v>
      </c>
      <c r="G8" s="31" t="s">
        <v>82</v>
      </c>
      <c r="H8" s="31"/>
      <c r="I8" s="31"/>
    </row>
    <row r="9" spans="2:9" ht="72" x14ac:dyDescent="0.3">
      <c r="B9" s="13" t="s">
        <v>23</v>
      </c>
      <c r="C9" s="20">
        <f>2%*Expenses!$E$9</f>
        <v>100560</v>
      </c>
      <c r="D9" s="20">
        <f>4%*Expenses!$E$9</f>
        <v>201120</v>
      </c>
      <c r="E9" s="13" t="s">
        <v>24</v>
      </c>
      <c r="F9" s="31" t="s">
        <v>83</v>
      </c>
      <c r="G9" s="31" t="s">
        <v>84</v>
      </c>
      <c r="H9" s="31" t="s">
        <v>78</v>
      </c>
      <c r="I9" s="31" t="s">
        <v>82</v>
      </c>
    </row>
    <row r="10" spans="2:9" ht="14.4" x14ac:dyDescent="0.3">
      <c r="B10" s="13" t="s">
        <v>25</v>
      </c>
      <c r="C10" s="20">
        <f>1.8%*Expenses!$E$9</f>
        <v>90504.000000000015</v>
      </c>
      <c r="D10" s="20">
        <f>2.8%*Expenses!$E$9</f>
        <v>140784</v>
      </c>
      <c r="E10" s="13" t="s">
        <v>26</v>
      </c>
      <c r="F10" s="13"/>
      <c r="G10" s="13"/>
      <c r="H10" s="13"/>
      <c r="I10" s="13"/>
    </row>
    <row r="11" spans="2:9" ht="43.2" x14ac:dyDescent="0.3">
      <c r="B11" s="13" t="s">
        <v>27</v>
      </c>
      <c r="C11" s="20">
        <f>1.4%*Expenses!$E$9</f>
        <v>70392</v>
      </c>
      <c r="D11" s="20">
        <f>2.8%*Expenses!$E$9</f>
        <v>140784</v>
      </c>
      <c r="E11" s="13" t="s">
        <v>28</v>
      </c>
      <c r="F11" s="31" t="s">
        <v>77</v>
      </c>
      <c r="G11" s="31" t="s">
        <v>89</v>
      </c>
      <c r="H11" s="31"/>
      <c r="I11" s="31"/>
    </row>
    <row r="12" spans="2:9" ht="43.2" x14ac:dyDescent="0.3">
      <c r="B12" s="13" t="s">
        <v>29</v>
      </c>
      <c r="C12" s="20">
        <f>2.2%*Expenses!$E$9</f>
        <v>110616.00000000001</v>
      </c>
      <c r="D12" s="20">
        <f>3.8%*Expenses!$E$9</f>
        <v>191064</v>
      </c>
      <c r="E12" s="13" t="s">
        <v>30</v>
      </c>
      <c r="F12" s="31" t="s">
        <v>85</v>
      </c>
      <c r="G12" s="31" t="s">
        <v>86</v>
      </c>
      <c r="H12" s="31"/>
      <c r="I12" s="31"/>
    </row>
    <row r="13" spans="2:9" ht="14.4" x14ac:dyDescent="0.3">
      <c r="B13" s="13" t="s">
        <v>31</v>
      </c>
      <c r="C13" s="20">
        <f>-10%*SUM(C4:C12)</f>
        <v>-102571.20000000001</v>
      </c>
      <c r="D13" s="20">
        <f>-7%*SUM(D4:D12)</f>
        <v>-138672.24000000002</v>
      </c>
      <c r="E13" s="13" t="s">
        <v>32</v>
      </c>
      <c r="F13" s="13"/>
      <c r="G13" s="13"/>
      <c r="H13" s="13"/>
      <c r="I13" s="13"/>
    </row>
    <row r="14" spans="2:9" ht="14.4" x14ac:dyDescent="0.3">
      <c r="B14" s="13" t="s">
        <v>90</v>
      </c>
      <c r="C14" s="20">
        <f>2%*Expenses!E9</f>
        <v>100560</v>
      </c>
      <c r="D14" s="20">
        <f>5%*Expenses!E9</f>
        <v>251400</v>
      </c>
      <c r="E14" s="13" t="s">
        <v>91</v>
      </c>
      <c r="F14" s="13"/>
      <c r="G14" s="13"/>
      <c r="H14" s="13"/>
      <c r="I14" s="13"/>
    </row>
    <row r="15" spans="2:9" ht="14.4" x14ac:dyDescent="0.3">
      <c r="B15" s="13" t="s">
        <v>33</v>
      </c>
      <c r="C15" s="20">
        <f>SUM(C4:C7)</f>
        <v>251400</v>
      </c>
      <c r="D15" s="20">
        <f>SUM(D4:D7)</f>
        <v>703920</v>
      </c>
      <c r="E15" s="11"/>
      <c r="F15" s="11"/>
      <c r="G15" s="11"/>
      <c r="H15" s="11"/>
      <c r="I15" s="11"/>
    </row>
    <row r="16" spans="2:9" ht="14.4" x14ac:dyDescent="0.3">
      <c r="B16" s="13" t="s">
        <v>34</v>
      </c>
      <c r="C16" s="20">
        <f>SUM(C8:C12)</f>
        <v>774312</v>
      </c>
      <c r="D16" s="20">
        <f>SUM(D8:D12)</f>
        <v>1277112</v>
      </c>
      <c r="E16" s="11"/>
      <c r="F16" s="11"/>
      <c r="G16" s="11"/>
      <c r="H16" s="11"/>
      <c r="I16" s="11"/>
    </row>
    <row r="17" spans="2:9" ht="14.4" x14ac:dyDescent="0.3">
      <c r="B17" s="13" t="s">
        <v>35</v>
      </c>
      <c r="C17" s="20">
        <f>C15+C16+C13</f>
        <v>923140.8</v>
      </c>
      <c r="D17" s="20">
        <f>D15+D16+D13</f>
        <v>1842359.76</v>
      </c>
      <c r="E17" s="11"/>
      <c r="F17" s="11"/>
      <c r="G17" s="11"/>
      <c r="H17" s="11"/>
      <c r="I17" s="11"/>
    </row>
    <row r="18" spans="2:9" ht="14.4" x14ac:dyDescent="0.3">
      <c r="B18" s="13" t="s">
        <v>36</v>
      </c>
      <c r="C18" s="20">
        <f>Investment!$C$9</f>
        <v>30000</v>
      </c>
      <c r="D18" s="20">
        <f>Investment!$C$9</f>
        <v>30000</v>
      </c>
      <c r="E18" s="11"/>
      <c r="F18" s="11"/>
      <c r="G18" s="11"/>
      <c r="H18" s="11"/>
      <c r="I18" s="11"/>
    </row>
    <row r="19" spans="2:9" ht="14.4" x14ac:dyDescent="0.3">
      <c r="B19" s="13" t="s">
        <v>37</v>
      </c>
      <c r="C19" s="20">
        <f>C17-C18+3000</f>
        <v>896140.80000000005</v>
      </c>
      <c r="D19" s="20">
        <f>D17-D18+3000</f>
        <v>1815359.76</v>
      </c>
      <c r="E19" s="11"/>
      <c r="F19" s="11"/>
      <c r="G19" s="11"/>
      <c r="H19" s="11"/>
      <c r="I19" s="11"/>
    </row>
    <row r="20" spans="2:9" ht="14.4" x14ac:dyDescent="0.3">
      <c r="B20" s="13" t="s">
        <v>68</v>
      </c>
      <c r="C20" s="20">
        <f>Investment!$D$9</f>
        <v>250000</v>
      </c>
      <c r="D20" s="20">
        <f>Investment!$D$9</f>
        <v>250000</v>
      </c>
      <c r="E20" s="11"/>
      <c r="F20" s="11"/>
      <c r="G20" s="11"/>
      <c r="H20" s="11"/>
      <c r="I20" s="11"/>
    </row>
    <row r="21" spans="2:9" ht="14.4" x14ac:dyDescent="0.3">
      <c r="B21" s="13" t="s">
        <v>67</v>
      </c>
      <c r="C21" s="20">
        <f>10%*C19</f>
        <v>89614.080000000016</v>
      </c>
      <c r="D21" s="20">
        <f>10%*D19</f>
        <v>181535.97600000002</v>
      </c>
      <c r="E21" s="11"/>
      <c r="F21" s="11"/>
      <c r="G21" s="11"/>
      <c r="H21" s="11"/>
      <c r="I21" s="11"/>
    </row>
    <row r="22" spans="2:9" ht="14.4" x14ac:dyDescent="0.3">
      <c r="B22" s="13" t="s">
        <v>62</v>
      </c>
      <c r="C22" s="20">
        <f>C19-C20</f>
        <v>646140.80000000005</v>
      </c>
      <c r="D22" s="20">
        <f>D19-D20</f>
        <v>1565359.76</v>
      </c>
      <c r="E22" s="11"/>
      <c r="F22" s="11"/>
      <c r="G22" s="11"/>
      <c r="H22" s="11"/>
      <c r="I22" s="11"/>
    </row>
    <row r="23" spans="2:9" ht="14.4" x14ac:dyDescent="0.3">
      <c r="B23" s="13" t="s">
        <v>65</v>
      </c>
      <c r="C23" s="20">
        <f>C19-C21</f>
        <v>806526.72</v>
      </c>
      <c r="D23" s="20">
        <f>D19-D21</f>
        <v>1633823.784</v>
      </c>
      <c r="E23" s="11"/>
      <c r="F23" s="11"/>
      <c r="G23" s="11"/>
      <c r="H23" s="11"/>
      <c r="I23" s="11"/>
    </row>
    <row r="24" spans="2:9" ht="14.4" x14ac:dyDescent="0.3">
      <c r="B24" s="13" t="s">
        <v>63</v>
      </c>
      <c r="C24" s="20">
        <f>C19*(1+5%)</f>
        <v>940947.84000000008</v>
      </c>
      <c r="D24" s="20">
        <f>D19*(1+5%)</f>
        <v>1906127.7480000001</v>
      </c>
      <c r="E24" s="11"/>
      <c r="F24" s="11"/>
      <c r="G24" s="11"/>
      <c r="H24" s="11"/>
      <c r="I24" s="11"/>
    </row>
    <row r="25" spans="2:9" ht="14.4" x14ac:dyDescent="0.3">
      <c r="B25" s="13" t="s">
        <v>64</v>
      </c>
      <c r="C25" s="20">
        <f>C24*(1+3%)</f>
        <v>969176.27520000015</v>
      </c>
      <c r="D25" s="20">
        <f>D24*(1+3%)</f>
        <v>1963311.5804400002</v>
      </c>
      <c r="E25" s="11"/>
      <c r="F25" s="11"/>
      <c r="G25" s="11"/>
      <c r="H25" s="11"/>
      <c r="I25" s="11"/>
    </row>
    <row r="26" spans="2:9" ht="15.75" customHeight="1" x14ac:dyDescent="0.3">
      <c r="B26" s="26" t="s">
        <v>69</v>
      </c>
      <c r="C26" s="21">
        <f>IF(C22&gt;0,Investment!$D$9/(C22/12),"")</f>
        <v>4.6429508862464646</v>
      </c>
      <c r="D26" s="21">
        <f>IF(D22&gt;0,Investment!D9/(D22/12),"")</f>
        <v>1.9164923467816752</v>
      </c>
      <c r="E26" s="11"/>
      <c r="F26" s="11"/>
      <c r="G26" s="11"/>
      <c r="H26" s="11"/>
      <c r="I26" s="11"/>
    </row>
    <row r="27" spans="2:9" ht="15.75" customHeight="1" x14ac:dyDescent="0.3">
      <c r="B27" s="26" t="s">
        <v>70</v>
      </c>
      <c r="C27" s="22">
        <f>IF(C23&gt;0,Investment!$D$9/(C23/12),"")</f>
        <v>3.719653578247228</v>
      </c>
      <c r="D27" s="22">
        <f>IF(D23&gt;0,Investment!D9/(D23/12),"")</f>
        <v>1.8361833322411716</v>
      </c>
      <c r="E27" s="11"/>
      <c r="F27" s="11"/>
      <c r="G27" s="11"/>
      <c r="H27" s="11"/>
      <c r="I27" s="11"/>
    </row>
    <row r="28" spans="2:9" ht="15.75" customHeight="1" x14ac:dyDescent="0.3"/>
    <row r="29" spans="2:9" ht="15.75" customHeight="1" x14ac:dyDescent="0.3"/>
    <row r="30" spans="2:9" ht="15.75" customHeight="1" x14ac:dyDescent="0.3"/>
    <row r="31" spans="2:9" ht="15.75" customHeight="1" x14ac:dyDescent="0.3"/>
    <row r="32" spans="2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hyperlinks>
    <hyperlink ref="F4" r:id="rId1" xr:uid="{D6CF4E33-107C-4D5F-A6E9-6C3B05D808A0}"/>
    <hyperlink ref="G9" r:id="rId2" xr:uid="{C37CB7FA-45CC-486C-92EA-988528AAFB9C}"/>
  </hyperlinks>
  <pageMargins left="0.75" right="0.75" top="1" bottom="1" header="0" footer="0"/>
  <pageSetup orientation="landscape"/>
  <ignoredErrors>
    <ignoredError sqref="C20:D2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1275E-3BB8-4CBE-A48B-D8FA2B6B4231}">
  <dimension ref="A2:Z26"/>
  <sheetViews>
    <sheetView showGridLines="0" zoomScale="80" zoomScaleNormal="80" workbookViewId="0"/>
  </sheetViews>
  <sheetFormatPr defaultRowHeight="14.4" outlineLevelRow="1" x14ac:dyDescent="0.3"/>
  <cols>
    <col min="1" max="1" width="3.33203125" customWidth="1"/>
    <col min="2" max="2" width="26.77734375" customWidth="1"/>
    <col min="3" max="3" width="26.77734375" style="12" customWidth="1"/>
    <col min="4" max="4" width="3.33203125" customWidth="1"/>
    <col min="15" max="15" width="3.33203125" customWidth="1"/>
    <col min="26" max="26" width="3.33203125" customWidth="1"/>
  </cols>
  <sheetData>
    <row r="2" spans="1:26" s="6" customFormat="1" x14ac:dyDescent="0.3">
      <c r="A2" s="10"/>
      <c r="B2" s="14" t="s">
        <v>52</v>
      </c>
      <c r="C2" s="23" t="s">
        <v>58</v>
      </c>
      <c r="D2" s="10"/>
      <c r="O2" s="10"/>
      <c r="Z2" s="10"/>
    </row>
    <row r="3" spans="1:26" s="6" customFormat="1" x14ac:dyDescent="0.3">
      <c r="A3" s="10"/>
      <c r="B3" s="14" t="s">
        <v>53</v>
      </c>
      <c r="C3" s="15">
        <f>IF($C$2="Conservative",'ROI Model'!$C$3,IF($C$2="Expected",AVERAGE('ROI Model'!$C$3,'ROI Model'!$D$3),IF($C$2="Aggressive",'ROI Model'!$D$3,"")))</f>
        <v>5028000</v>
      </c>
      <c r="D3" s="10"/>
      <c r="O3" s="10"/>
      <c r="Z3" s="10"/>
    </row>
    <row r="4" spans="1:26" s="17" customFormat="1" outlineLevel="1" x14ac:dyDescent="0.3">
      <c r="A4"/>
      <c r="B4" s="18" t="s">
        <v>14</v>
      </c>
      <c r="C4" s="16">
        <f>IF($C$2="Conservative",'ROI Model'!$C$4,IF($C$2="Expected",AVERAGE('ROI Model'!$C$4,'ROI Model'!$D$4),IF($C$2="Aggressive",'ROI Model'!$D$4,"")))</f>
        <v>150840</v>
      </c>
      <c r="D4"/>
      <c r="O4"/>
      <c r="Z4"/>
    </row>
    <row r="5" spans="1:26" s="17" customFormat="1" outlineLevel="1" x14ac:dyDescent="0.3">
      <c r="A5"/>
      <c r="B5" s="18" t="s">
        <v>16</v>
      </c>
      <c r="C5" s="16">
        <f>IF($C$2="Conservative",'ROI Model'!$C$5,IF($C$2="Expected",AVERAGE('ROI Model'!$C$5,'ROI Model'!$D$5),IF($C$2="Aggressive",'ROI Model'!$D$5,"")))</f>
        <v>50280</v>
      </c>
      <c r="D5"/>
      <c r="O5"/>
      <c r="Z5"/>
    </row>
    <row r="6" spans="1:26" s="17" customFormat="1" outlineLevel="1" x14ac:dyDescent="0.3">
      <c r="A6"/>
      <c r="B6" s="18" t="s">
        <v>18</v>
      </c>
      <c r="C6" s="16">
        <f>IF($C$2="Conservative",'ROI Model'!$C$6,IF($C$2="Expected",AVERAGE('ROI Model'!$C$6,'ROI Model'!$D$6),IF($C$2="Aggressive",'ROI Model'!$D$6,"")))</f>
        <v>25140</v>
      </c>
      <c r="D6"/>
      <c r="O6"/>
      <c r="Z6"/>
    </row>
    <row r="7" spans="1:26" s="17" customFormat="1" outlineLevel="1" x14ac:dyDescent="0.3">
      <c r="A7"/>
      <c r="B7" s="18" t="s">
        <v>20</v>
      </c>
      <c r="C7" s="16">
        <f>IF($C$2="Conservative",'ROI Model'!$C$7,IF($C$2="Expected",AVERAGE('ROI Model'!$C$7,'ROI Model'!$D$7),IF($C$2="Aggressive",'ROI Model'!$D$7,"")))</f>
        <v>25140</v>
      </c>
      <c r="D7"/>
      <c r="O7"/>
      <c r="Z7"/>
    </row>
    <row r="8" spans="1:26" s="6" customFormat="1" x14ac:dyDescent="0.3">
      <c r="A8"/>
      <c r="B8" s="14" t="s">
        <v>44</v>
      </c>
      <c r="C8" s="15">
        <f>IF($C$2="Conservative",'ROI Model'!$C$15,IF($C$2="Expected",AVERAGE('ROI Model'!$C$15,'ROI Model'!$D$15),IF($C$2="Aggressive",'ROI Model'!$D$15,"")))</f>
        <v>251400</v>
      </c>
      <c r="D8"/>
      <c r="O8"/>
      <c r="Z8"/>
    </row>
    <row r="9" spans="1:26" s="17" customFormat="1" outlineLevel="1" x14ac:dyDescent="0.3">
      <c r="A9"/>
      <c r="B9" s="18" t="s">
        <v>21</v>
      </c>
      <c r="C9" s="16">
        <f>IF($C$2="Conservative",'ROI Model'!$C$8,IF($C$2="Expected",AVERAGE('ROI Model'!$C$8,'ROI Model'!$D$8),IF($C$2="Aggressive",'ROI Model'!$D$8,"")))</f>
        <v>402240</v>
      </c>
      <c r="D9"/>
      <c r="O9"/>
      <c r="Z9"/>
    </row>
    <row r="10" spans="1:26" s="17" customFormat="1" outlineLevel="1" x14ac:dyDescent="0.3">
      <c r="A10"/>
      <c r="B10" s="18" t="s">
        <v>23</v>
      </c>
      <c r="C10" s="16">
        <f>IF($C$2="Conservative",'ROI Model'!$C$9,IF($C$2="Expected",AVERAGE('ROI Model'!$C$9,'ROI Model'!$D$9),IF($C$2="Aggressive",'ROI Model'!$D$9,"")))</f>
        <v>100560</v>
      </c>
      <c r="D10"/>
      <c r="O10"/>
      <c r="Z10"/>
    </row>
    <row r="11" spans="1:26" s="17" customFormat="1" outlineLevel="1" x14ac:dyDescent="0.3">
      <c r="A11"/>
      <c r="B11" s="18" t="s">
        <v>25</v>
      </c>
      <c r="C11" s="16">
        <f>IF($C$2="Conservative",'ROI Model'!$C$10,IF($C$2="Expected",AVERAGE('ROI Model'!$C$10,'ROI Model'!$D$10),IF($C$2="Aggressive",'ROI Model'!$D$10,"")))</f>
        <v>90504.000000000015</v>
      </c>
      <c r="D11"/>
      <c r="O11"/>
      <c r="Z11"/>
    </row>
    <row r="12" spans="1:26" s="17" customFormat="1" outlineLevel="1" x14ac:dyDescent="0.3">
      <c r="A12"/>
      <c r="B12" s="18" t="s">
        <v>27</v>
      </c>
      <c r="C12" s="16">
        <f>IF($C$2="Conservative",'ROI Model'!$C$11,IF($C$2="Expected",AVERAGE('ROI Model'!$C$11,'ROI Model'!$D$11),IF($C$2="Aggressive",'ROI Model'!$D$11,"")))</f>
        <v>70392</v>
      </c>
      <c r="D12"/>
      <c r="O12"/>
      <c r="Z12"/>
    </row>
    <row r="13" spans="1:26" s="17" customFormat="1" outlineLevel="1" x14ac:dyDescent="0.3">
      <c r="A13"/>
      <c r="B13" s="18" t="s">
        <v>29</v>
      </c>
      <c r="C13" s="16">
        <f>IF($C$2="Conservative",'ROI Model'!$C$12,IF($C$2="Expected",AVERAGE('ROI Model'!$C$12,'ROI Model'!$D$12),IF($C$2="Aggressive",'ROI Model'!$D$12,"")))</f>
        <v>110616.00000000001</v>
      </c>
      <c r="D13"/>
      <c r="O13"/>
      <c r="Z13"/>
    </row>
    <row r="14" spans="1:26" s="6" customFormat="1" x14ac:dyDescent="0.3">
      <c r="A14"/>
      <c r="B14" s="14" t="s">
        <v>45</v>
      </c>
      <c r="C14" s="15">
        <f>IF($C$2="Conservative",'ROI Model'!$C$16,IF($C$2="Expected",AVERAGE('ROI Model'!$C$16,'ROI Model'!$D$16),IF($C$2="Aggressive",'ROI Model'!$D$16,"")))</f>
        <v>774312</v>
      </c>
      <c r="D14"/>
      <c r="O14"/>
      <c r="Z14"/>
    </row>
    <row r="15" spans="1:26" x14ac:dyDescent="0.3">
      <c r="B15" s="14" t="s">
        <v>46</v>
      </c>
      <c r="C15" s="15">
        <f>IF($C$2="Conservative",'ROI Model'!$C$13,IF($C$2="Expected",AVERAGE('ROI Model'!$C$13,'ROI Model'!$D$13),IF($C$2="Aggressive",'ROI Model'!$D$13,"")))</f>
        <v>-102571.20000000001</v>
      </c>
    </row>
    <row r="16" spans="1:26" x14ac:dyDescent="0.3">
      <c r="B16" s="14" t="s">
        <v>47</v>
      </c>
      <c r="C16" s="15">
        <f>IF($C$2="Conservative",'ROI Model'!$C$17,IF($C$2="Expected",AVERAGE('ROI Model'!$C$17,'ROI Model'!$D$17),IF($C$2="Aggressive",'ROI Model'!$D$17,"")))</f>
        <v>923140.8</v>
      </c>
    </row>
    <row r="17" spans="2:3" x14ac:dyDescent="0.3">
      <c r="B17" s="24" t="s">
        <v>36</v>
      </c>
      <c r="C17" s="15">
        <f>IF($C$2="Conservative",'ROI Model'!$C$18,IF($C$2="Expected",AVERAGE('ROI Model'!$C$18,'ROI Model'!$D$18),IF($C$2="Aggressive",'ROI Model'!$D$18,"")))</f>
        <v>30000</v>
      </c>
    </row>
    <row r="18" spans="2:3" x14ac:dyDescent="0.3">
      <c r="B18" s="14" t="s">
        <v>48</v>
      </c>
      <c r="C18" s="15">
        <f>IF($C$2="Conservative",'ROI Model'!$C$19,IF($C$2="Expected",AVERAGE('ROI Model'!$C$19,'ROI Model'!$D$19),IF($C$2="Aggressive",'ROI Model'!$D$19,"")))</f>
        <v>896140.80000000005</v>
      </c>
    </row>
    <row r="19" spans="2:3" x14ac:dyDescent="0.3">
      <c r="B19" s="24" t="s">
        <v>68</v>
      </c>
      <c r="C19" s="15">
        <f>IF($C$2="Conservative",'ROI Model'!$C$20,IF($C$2="Expected",AVERAGE('ROI Model'!$C$20,'ROI Model'!$D$20),IF($C$2="Aggressive",'ROI Model'!$D$20,"")))</f>
        <v>250000</v>
      </c>
    </row>
    <row r="20" spans="2:3" x14ac:dyDescent="0.3">
      <c r="B20" s="14" t="s">
        <v>49</v>
      </c>
      <c r="C20" s="15">
        <f>IF($C$2="Conservative",'ROI Model'!$C$22,IF($C$2="Expected",AVERAGE('ROI Model'!$C$22,'ROI Model'!$D$22),IF($C$2="Aggressive",'ROI Model'!$D$22,"")))</f>
        <v>646140.80000000005</v>
      </c>
    </row>
    <row r="21" spans="2:3" x14ac:dyDescent="0.3">
      <c r="B21" s="14" t="s">
        <v>50</v>
      </c>
      <c r="C21" s="15">
        <f>IF($C$2="Conservative",'ROI Model'!$C$24,IF($C$2="Expected",AVERAGE('ROI Model'!$C$24,'ROI Model'!$D$24),IF($C$2="Aggressive",'ROI Model'!$D$24,"")))</f>
        <v>940947.84000000008</v>
      </c>
    </row>
    <row r="22" spans="2:3" x14ac:dyDescent="0.3">
      <c r="B22" s="14" t="s">
        <v>51</v>
      </c>
      <c r="C22" s="15">
        <f>IF($C$2="Conservative",'ROI Model'!$C$25,IF($C$2="Expected",AVERAGE('ROI Model'!$C$25,'ROI Model'!$D$25),IF($C$2="Aggressive",'ROI Model'!$D$25,"")))</f>
        <v>969176.27520000015</v>
      </c>
    </row>
    <row r="23" spans="2:3" x14ac:dyDescent="0.3">
      <c r="B23" s="24" t="s">
        <v>54</v>
      </c>
      <c r="C23" s="25">
        <f>IF($C$2="Conservative",'ROI Model'!$C$26,IF($C$2="Expected",AVERAGE('ROI Model'!$C$26,'ROI Model'!$D$26),IF($C$2="Aggressive",'ROI Model'!$D$26,"")))</f>
        <v>4.6429508862464646</v>
      </c>
    </row>
    <row r="24" spans="2:3" x14ac:dyDescent="0.3">
      <c r="B24" s="24" t="s">
        <v>55</v>
      </c>
      <c r="C24" s="25">
        <f>IF($C$2="Conservative",'ROI Model'!$C$22/('ROI Model'!$C$18+'ROI Model'!$C$20),IF($C$2="Expected",AVERAGE('ROI Model'!$C$22/('ROI Model'!$C$18+'ROI Model'!$C$20),'ROI Model'!$D$22/('ROI Model'!$D$18+'ROI Model'!$D$20)),IF($C$2="Aggressive",'ROI Model'!$D$22/('ROI Model'!$D$18+'ROI Model'!$D$20),"")))</f>
        <v>2.3076457142857145</v>
      </c>
    </row>
    <row r="25" spans="2:3" x14ac:dyDescent="0.3">
      <c r="B25" s="24" t="s">
        <v>56</v>
      </c>
      <c r="C25" s="25">
        <f>IF($C$2="Conservative",'ROI Model'!$C$24/'ROI Model'!$C$18,IF($C$2="Expected",AVERAGE('ROI Model'!$C$24/'ROI Model'!$C$18,'ROI Model'!$D$24/'ROI Model'!$D$18),IF($C$2="Aggressive",'ROI Model'!$D$24/'ROI Model'!$D$18,"")))</f>
        <v>31.364928000000003</v>
      </c>
    </row>
    <row r="26" spans="2:3" x14ac:dyDescent="0.3">
      <c r="B26" s="24" t="s">
        <v>57</v>
      </c>
      <c r="C26" s="25">
        <f>IF($C$2="Conservative",'ROI Model'!$C$25/'ROI Model'!$C$18,IF($C$2="Expected",AVERAGE('ROI Model'!$C$25/'ROI Model'!$C$18,'ROI Model'!$D$25/'ROI Model'!$D$18),IF($C$2="Aggressive",'ROI Model'!$D$25/'ROI Model'!$D$18,"")))</f>
        <v>32.305875840000006</v>
      </c>
    </row>
  </sheetData>
  <dataValidations count="1">
    <dataValidation type="list" allowBlank="1" showInputMessage="1" showErrorMessage="1" sqref="C2" xr:uid="{FCF4AE82-5825-44D3-BEAE-7CAC9A223A4E}">
      <formula1>"Conservative, Expected, Aggressive"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8682-A26D-4F82-80A6-EABA3F72AC15}">
  <dimension ref="A2:Z26"/>
  <sheetViews>
    <sheetView showGridLines="0" zoomScale="80" zoomScaleNormal="80" workbookViewId="0"/>
  </sheetViews>
  <sheetFormatPr defaultRowHeight="14.4" outlineLevelRow="1" x14ac:dyDescent="0.3"/>
  <cols>
    <col min="1" max="1" width="3.33203125" customWidth="1"/>
    <col min="2" max="2" width="26.77734375" customWidth="1"/>
    <col min="3" max="3" width="26.77734375" style="12" customWidth="1"/>
    <col min="4" max="4" width="3.33203125" customWidth="1"/>
    <col min="15" max="15" width="3.33203125" customWidth="1"/>
    <col min="26" max="26" width="3.33203125" customWidth="1"/>
  </cols>
  <sheetData>
    <row r="2" spans="1:26" s="6" customFormat="1" x14ac:dyDescent="0.3">
      <c r="A2" s="10"/>
      <c r="B2" s="14" t="s">
        <v>52</v>
      </c>
      <c r="C2" s="23" t="s">
        <v>58</v>
      </c>
      <c r="D2" s="10"/>
      <c r="O2" s="10"/>
      <c r="Z2" s="10"/>
    </row>
    <row r="3" spans="1:26" s="6" customFormat="1" x14ac:dyDescent="0.3">
      <c r="A3" s="10"/>
      <c r="B3" s="14" t="s">
        <v>53</v>
      </c>
      <c r="C3" s="15">
        <f>IF($C$2="Conservative",'ROI Model'!$C$3,IF($C$2="Expected",AVERAGE('ROI Model'!$C$3,'ROI Model'!$D$3),IF($C$2="Aggressive",'ROI Model'!$D$3,"")))</f>
        <v>5028000</v>
      </c>
      <c r="D3" s="10"/>
      <c r="O3" s="10"/>
      <c r="Z3" s="10"/>
    </row>
    <row r="4" spans="1:26" s="17" customFormat="1" outlineLevel="1" x14ac:dyDescent="0.3">
      <c r="A4"/>
      <c r="B4" s="18" t="s">
        <v>14</v>
      </c>
      <c r="C4" s="16">
        <f>IF($C$2="Conservative",'ROI Model'!$C$4,IF($C$2="Expected",AVERAGE('ROI Model'!$C$4,'ROI Model'!$D$4),IF($C$2="Aggressive",'ROI Model'!$D$4,"")))</f>
        <v>150840</v>
      </c>
      <c r="D4"/>
      <c r="O4"/>
      <c r="Z4"/>
    </row>
    <row r="5" spans="1:26" s="17" customFormat="1" outlineLevel="1" x14ac:dyDescent="0.3">
      <c r="A5"/>
      <c r="B5" s="18" t="s">
        <v>16</v>
      </c>
      <c r="C5" s="16">
        <f>IF($C$2="Conservative",'ROI Model'!$C$5,IF($C$2="Expected",AVERAGE('ROI Model'!$C$5,'ROI Model'!$D$5),IF($C$2="Aggressive",'ROI Model'!$D$5,"")))</f>
        <v>50280</v>
      </c>
      <c r="D5"/>
      <c r="O5"/>
      <c r="Z5"/>
    </row>
    <row r="6" spans="1:26" s="17" customFormat="1" outlineLevel="1" x14ac:dyDescent="0.3">
      <c r="A6"/>
      <c r="B6" s="18" t="s">
        <v>18</v>
      </c>
      <c r="C6" s="16">
        <f>IF($C$2="Conservative",'ROI Model'!$C$6,IF($C$2="Expected",AVERAGE('ROI Model'!$C$6,'ROI Model'!$D$6),IF($C$2="Aggressive",'ROI Model'!$D$6,"")))</f>
        <v>25140</v>
      </c>
      <c r="D6"/>
      <c r="O6"/>
      <c r="Z6"/>
    </row>
    <row r="7" spans="1:26" s="17" customFormat="1" outlineLevel="1" x14ac:dyDescent="0.3">
      <c r="A7"/>
      <c r="B7" s="18" t="s">
        <v>20</v>
      </c>
      <c r="C7" s="16">
        <f>IF($C$2="Conservative",'ROI Model'!$C$7,IF($C$2="Expected",AVERAGE('ROI Model'!$C$7,'ROI Model'!$D$7),IF($C$2="Aggressive",'ROI Model'!$D$7,"")))</f>
        <v>25140</v>
      </c>
      <c r="D7"/>
      <c r="O7"/>
      <c r="Z7"/>
    </row>
    <row r="8" spans="1:26" s="6" customFormat="1" x14ac:dyDescent="0.3">
      <c r="A8"/>
      <c r="B8" s="14" t="s">
        <v>44</v>
      </c>
      <c r="C8" s="15">
        <f>IF($C$2="Conservative",'ROI Model'!$C$15,IF($C$2="Expected",AVERAGE('ROI Model'!$C$15,'ROI Model'!$D$15),IF($C$2="Aggressive",'ROI Model'!$D$15,"")))</f>
        <v>251400</v>
      </c>
      <c r="D8"/>
      <c r="O8"/>
      <c r="Z8"/>
    </row>
    <row r="9" spans="1:26" s="17" customFormat="1" outlineLevel="1" x14ac:dyDescent="0.3">
      <c r="A9"/>
      <c r="B9" s="18" t="s">
        <v>21</v>
      </c>
      <c r="C9" s="16">
        <f>IF($C$2="Conservative",'ROI Model'!$C$8,IF($C$2="Expected",AVERAGE('ROI Model'!$C$8,'ROI Model'!$D$8),IF($C$2="Aggressive",'ROI Model'!$D$8,"")))</f>
        <v>402240</v>
      </c>
      <c r="D9"/>
      <c r="O9"/>
      <c r="Z9"/>
    </row>
    <row r="10" spans="1:26" s="17" customFormat="1" outlineLevel="1" x14ac:dyDescent="0.3">
      <c r="A10"/>
      <c r="B10" s="18" t="s">
        <v>23</v>
      </c>
      <c r="C10" s="16">
        <f>IF($C$2="Conservative",'ROI Model'!$C$9,IF($C$2="Expected",AVERAGE('ROI Model'!$C$9,'ROI Model'!$D$9),IF($C$2="Aggressive",'ROI Model'!$D$9,"")))</f>
        <v>100560</v>
      </c>
      <c r="D10"/>
      <c r="O10"/>
      <c r="Z10"/>
    </row>
    <row r="11" spans="1:26" s="17" customFormat="1" outlineLevel="1" x14ac:dyDescent="0.3">
      <c r="A11"/>
      <c r="B11" s="18" t="s">
        <v>25</v>
      </c>
      <c r="C11" s="16">
        <f>IF($C$2="Conservative",'ROI Model'!$C$10,IF($C$2="Expected",AVERAGE('ROI Model'!$C$10,'ROI Model'!$D$10),IF($C$2="Aggressive",'ROI Model'!$D$10,"")))</f>
        <v>90504.000000000015</v>
      </c>
      <c r="D11"/>
      <c r="O11"/>
      <c r="Z11"/>
    </row>
    <row r="12" spans="1:26" s="17" customFormat="1" outlineLevel="1" x14ac:dyDescent="0.3">
      <c r="A12"/>
      <c r="B12" s="18" t="s">
        <v>27</v>
      </c>
      <c r="C12" s="16">
        <f>IF($C$2="Conservative",'ROI Model'!$C$11,IF($C$2="Expected",AVERAGE('ROI Model'!$C$11,'ROI Model'!$D$11),IF($C$2="Aggressive",'ROI Model'!$D$11,"")))</f>
        <v>70392</v>
      </c>
      <c r="D12"/>
      <c r="O12"/>
      <c r="Z12"/>
    </row>
    <row r="13" spans="1:26" s="17" customFormat="1" outlineLevel="1" x14ac:dyDescent="0.3">
      <c r="A13"/>
      <c r="B13" s="18" t="s">
        <v>29</v>
      </c>
      <c r="C13" s="16">
        <f>IF($C$2="Conservative",'ROI Model'!$C$12,IF($C$2="Expected",AVERAGE('ROI Model'!$C$12,'ROI Model'!$D$12),IF($C$2="Aggressive",'ROI Model'!$D$12,"")))</f>
        <v>110616.00000000001</v>
      </c>
      <c r="D13"/>
      <c r="O13"/>
      <c r="Z13"/>
    </row>
    <row r="14" spans="1:26" s="6" customFormat="1" x14ac:dyDescent="0.3">
      <c r="A14"/>
      <c r="B14" s="14" t="s">
        <v>45</v>
      </c>
      <c r="C14" s="15">
        <f>IF($C$2="Conservative",'ROI Model'!$C$16,IF($C$2="Expected",AVERAGE('ROI Model'!$C$16,'ROI Model'!$D$16),IF($C$2="Aggressive",'ROI Model'!$D$16,"")))</f>
        <v>774312</v>
      </c>
      <c r="D14"/>
      <c r="O14"/>
      <c r="Z14"/>
    </row>
    <row r="15" spans="1:26" x14ac:dyDescent="0.3">
      <c r="B15" s="14" t="s">
        <v>46</v>
      </c>
      <c r="C15" s="15">
        <f>IF($C$2="Conservative",'ROI Model'!$C$13,IF($C$2="Expected",AVERAGE('ROI Model'!$C$13,'ROI Model'!$D$13),IF($C$2="Aggressive",'ROI Model'!$D$13,"")))</f>
        <v>-102571.20000000001</v>
      </c>
    </row>
    <row r="16" spans="1:26" x14ac:dyDescent="0.3">
      <c r="B16" s="14" t="s">
        <v>47</v>
      </c>
      <c r="C16" s="15">
        <f>IF($C$2="Conservative",'ROI Model'!$C$17,IF($C$2="Expected",AVERAGE('ROI Model'!$C$17,'ROI Model'!$D$17),IF($C$2="Aggressive",'ROI Model'!$D$17,"")))</f>
        <v>923140.8</v>
      </c>
    </row>
    <row r="17" spans="2:3" x14ac:dyDescent="0.3">
      <c r="B17" s="24" t="s">
        <v>36</v>
      </c>
      <c r="C17" s="15">
        <f>IF($C$2="Conservative",'ROI Model'!$C$18,IF($C$2="Expected",AVERAGE('ROI Model'!$C$18,'ROI Model'!$D$18),IF($C$2="Aggressive",'ROI Model'!$D$18,"")))</f>
        <v>30000</v>
      </c>
    </row>
    <row r="18" spans="2:3" x14ac:dyDescent="0.3">
      <c r="B18" s="14" t="s">
        <v>48</v>
      </c>
      <c r="C18" s="15">
        <f>IF($C$2="Conservative",'ROI Model'!$C$19,IF($C$2="Expected",AVERAGE('ROI Model'!$C$19,'ROI Model'!$D$19),IF($C$2="Aggressive",'ROI Model'!$D$19,"")))</f>
        <v>896140.80000000005</v>
      </c>
    </row>
    <row r="19" spans="2:3" x14ac:dyDescent="0.3">
      <c r="B19" s="24" t="s">
        <v>67</v>
      </c>
      <c r="C19" s="15">
        <f>IF($C$2="Conservative",'ROI Model'!$C$21,IF($C$2="Expected",AVERAGE('ROI Model'!$C$21,'ROI Model'!$D$21),IF($C$2="Aggressive",'ROI Model'!$D$21,"")))</f>
        <v>89614.080000000016</v>
      </c>
    </row>
    <row r="20" spans="2:3" x14ac:dyDescent="0.3">
      <c r="B20" s="14" t="s">
        <v>49</v>
      </c>
      <c r="C20" s="15">
        <f>IF($C$2="Conservative",'ROI Model'!$C$23,IF($C$2="Expected",AVERAGE('ROI Model'!$C$23,'ROI Model'!$D$23),IF($C$2="Aggressive",'ROI Model'!$D$23,"")))</f>
        <v>806526.72</v>
      </c>
    </row>
    <row r="21" spans="2:3" x14ac:dyDescent="0.3">
      <c r="B21" s="14" t="s">
        <v>50</v>
      </c>
      <c r="C21" s="15">
        <f>IF($C$2="Conservative",'ROI Model'!$C$24,IF($C$2="Expected",AVERAGE('ROI Model'!$C$24,'ROI Model'!$D$24),IF($C$2="Aggressive",'ROI Model'!$D$24,"")))</f>
        <v>940947.84000000008</v>
      </c>
    </row>
    <row r="22" spans="2:3" x14ac:dyDescent="0.3">
      <c r="B22" s="14" t="s">
        <v>51</v>
      </c>
      <c r="C22" s="15">
        <f>IF($C$2="Conservative",'ROI Model'!$C$25,IF($C$2="Expected",AVERAGE('ROI Model'!$C$25,'ROI Model'!$D$25),IF($C$2="Aggressive",'ROI Model'!$D$25,"")))</f>
        <v>969176.27520000015</v>
      </c>
    </row>
    <row r="23" spans="2:3" x14ac:dyDescent="0.3">
      <c r="B23" s="24" t="s">
        <v>54</v>
      </c>
      <c r="C23" s="25">
        <f>IF($C$2="Conservative",'ROI Model'!$C$27,IF($C$2="Expected",AVERAGE('ROI Model'!$C$27,'ROI Model'!$D$27),IF($C$2="Aggressive",'ROI Model'!$D$27,"")))</f>
        <v>3.719653578247228</v>
      </c>
    </row>
    <row r="24" spans="2:3" x14ac:dyDescent="0.3">
      <c r="B24" s="24" t="s">
        <v>55</v>
      </c>
      <c r="C24" s="25">
        <f>IF($C$2="Conservative",'ROI Model'!$C$22/('ROI Model'!$C$18+'ROI Model'!$C$21),IF($C$2="Expected",AVERAGE('ROI Model'!$C$22/('ROI Model'!$C$18+'ROI Model'!$C$21),'ROI Model'!$D$22/('ROI Model'!$D$18+'ROI Model'!$D$21)),IF($C$2="Aggressive",'ROI Model'!$D$22/('ROI Model'!$D$18+'ROI Model'!$D$21),"")))</f>
        <v>5.4018791098840531</v>
      </c>
    </row>
    <row r="25" spans="2:3" x14ac:dyDescent="0.3">
      <c r="B25" s="24" t="s">
        <v>56</v>
      </c>
      <c r="C25" s="25">
        <f>IF($C$2="Conservative",'ROI Model'!$C$24/'ROI Model'!$C$18,IF($C$2="Expected",AVERAGE('ROI Model'!$C$24/'ROI Model'!$C$18,'ROI Model'!$D$24/'ROI Model'!$D$18),IF($C$2="Aggressive",'ROI Model'!$D$24/'ROI Model'!$D$18,"")))</f>
        <v>31.364928000000003</v>
      </c>
    </row>
    <row r="26" spans="2:3" x14ac:dyDescent="0.3">
      <c r="B26" s="24" t="s">
        <v>57</v>
      </c>
      <c r="C26" s="25">
        <f>IF($C$2="Conservative",'ROI Model'!$C$25/'ROI Model'!$C$18,IF($C$2="Expected",AVERAGE('ROI Model'!$C$25/'ROI Model'!$C$18,'ROI Model'!$D$25/'ROI Model'!$D$18),IF($C$2="Aggressive",'ROI Model'!$D$25/'ROI Model'!$D$18,"")))</f>
        <v>32.305875840000006</v>
      </c>
    </row>
  </sheetData>
  <dataValidations disablePrompts="1" count="1">
    <dataValidation type="list" allowBlank="1" showInputMessage="1" showErrorMessage="1" sqref="C2" xr:uid="{16A81A6F-7090-4247-AB9A-CB28E6DB2965}">
      <formula1>"Conservative, Expected, Aggressive"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Expenses</vt:lpstr>
      <vt:lpstr>Investment</vt:lpstr>
      <vt:lpstr>ROI Model</vt:lpstr>
      <vt:lpstr>Overview - Consultants</vt:lpstr>
      <vt:lpstr>Overview - Tryzens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Georgiev</cp:lastModifiedBy>
  <dcterms:created xsi:type="dcterms:W3CDTF">2025-11-21T19:57:14Z</dcterms:created>
  <dcterms:modified xsi:type="dcterms:W3CDTF">2025-11-24T13:50:37Z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2025-11-23T11:11:02Z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7a83f3eb-fe50-4372-8800-6a4cb08b5e54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